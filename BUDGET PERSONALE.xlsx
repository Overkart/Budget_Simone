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verkart-my.sharepoint.com/personal/overkart_overkart_onmicrosoft_com/Documents/Documenti/Budget_Simone/"/>
    </mc:Choice>
  </mc:AlternateContent>
  <xr:revisionPtr revIDLastSave="539" documentId="14_{FD6015B3-000E-46B7-9102-F98FE8D69A16}" xr6:coauthVersionLast="47" xr6:coauthVersionMax="47" xr10:uidLastSave="{AB94B18D-9DC2-4D70-B14A-2B0DC2E664E2}"/>
  <bookViews>
    <workbookView xWindow="-120" yWindow="-120" windowWidth="38640" windowHeight="21120" activeTab="2" xr2:uid="{14E97A03-8E6A-4DA7-8CE7-286DD34EF94B}"/>
  </bookViews>
  <sheets>
    <sheet name="2025" sheetId="6" r:id="rId1"/>
    <sheet name="2024" sheetId="5" r:id="rId2"/>
    <sheet name="2023" sheetId="4" r:id="rId3"/>
    <sheet name="2022" sheetId="3" r:id="rId4"/>
  </sheets>
  <calcPr calcId="191028"/>
  <pivotCaches>
    <pivotCache cacheId="0" r:id="rId5"/>
    <pivotCache cacheId="1" r:id="rId6"/>
    <pivotCache cacheId="2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2" i="6" l="1"/>
  <c r="B331" i="6"/>
  <c r="B330" i="6"/>
  <c r="B323" i="6"/>
  <c r="B326" i="6"/>
  <c r="B325" i="6"/>
  <c r="B327" i="6"/>
  <c r="B328" i="6"/>
  <c r="B333" i="6"/>
  <c r="B324" i="6"/>
  <c r="B322" i="6"/>
  <c r="B320" i="6"/>
  <c r="B319" i="6"/>
  <c r="B345" i="6"/>
  <c r="B344" i="6"/>
  <c r="B296" i="6"/>
  <c r="B297" i="6"/>
  <c r="B317" i="6"/>
  <c r="B343" i="6"/>
  <c r="B342" i="6"/>
  <c r="B341" i="6"/>
  <c r="B340" i="6"/>
  <c r="B290" i="6"/>
  <c r="E348" i="6"/>
  <c r="E335" i="6"/>
  <c r="E316" i="6"/>
  <c r="B348" i="6"/>
  <c r="B335" i="6"/>
  <c r="B316" i="6"/>
  <c r="B315" i="6"/>
  <c r="B314" i="6"/>
  <c r="E288" i="6"/>
  <c r="B288" i="6"/>
  <c r="B313" i="6"/>
  <c r="B312" i="6"/>
  <c r="B263" i="6"/>
  <c r="E299" i="6"/>
  <c r="B299" i="6"/>
  <c r="B286" i="6"/>
  <c r="B285" i="6"/>
  <c r="B284" i="6"/>
  <c r="B283" i="6"/>
  <c r="B305" i="6"/>
  <c r="B306" i="6"/>
  <c r="B307" i="6"/>
  <c r="B308" i="6"/>
  <c r="B309" i="6"/>
  <c r="B310" i="6"/>
  <c r="B311" i="6"/>
  <c r="B370" i="6"/>
  <c r="B368" i="6"/>
  <c r="B366" i="6"/>
  <c r="B364" i="6"/>
  <c r="B362" i="6"/>
  <c r="B360" i="6"/>
  <c r="B358" i="6"/>
  <c r="B355" i="6"/>
  <c r="B352" i="6"/>
  <c r="B347" i="6"/>
  <c r="B334" i="6"/>
  <c r="B291" i="6"/>
  <c r="F2" i="6"/>
  <c r="F3" i="6"/>
  <c r="F4" i="6"/>
  <c r="F5" i="6"/>
  <c r="F6" i="6"/>
  <c r="F7" i="6"/>
  <c r="F8" i="6"/>
  <c r="F9" i="6"/>
  <c r="F10" i="6"/>
  <c r="F11" i="6"/>
  <c r="F12" i="6"/>
  <c r="E13" i="6"/>
  <c r="E33" i="6"/>
  <c r="E34" i="6"/>
  <c r="E42" i="6"/>
  <c r="E65" i="6"/>
  <c r="E86" i="6"/>
  <c r="E122" i="6"/>
  <c r="E123" i="6"/>
  <c r="E138" i="6"/>
  <c r="E149" i="6"/>
  <c r="E151" i="6"/>
  <c r="E177" i="6"/>
  <c r="E178" i="6"/>
  <c r="E182" i="6"/>
  <c r="E185" i="6"/>
  <c r="E192" i="6"/>
  <c r="E210" i="6"/>
  <c r="E212" i="6"/>
  <c r="E221" i="6"/>
  <c r="E224" i="6"/>
  <c r="E238" i="6"/>
  <c r="E239" i="6"/>
  <c r="E241" i="6"/>
  <c r="E254" i="6"/>
  <c r="E267" i="6"/>
  <c r="E273" i="6"/>
  <c r="E275" i="6"/>
  <c r="E281" i="6"/>
  <c r="E282" i="6"/>
  <c r="E300" i="6"/>
  <c r="E303" i="6"/>
  <c r="E336" i="6"/>
  <c r="E339" i="6"/>
  <c r="E350" i="6"/>
  <c r="B300" i="6"/>
  <c r="B336" i="6"/>
  <c r="B282" i="6"/>
  <c r="B281" i="6"/>
  <c r="B258" i="6"/>
  <c r="B357" i="6"/>
  <c r="B354" i="6"/>
  <c r="B351" i="6"/>
  <c r="B346" i="6"/>
  <c r="B321" i="6"/>
  <c r="B287" i="6"/>
  <c r="B276" i="6"/>
  <c r="B278" i="6"/>
  <c r="B280" i="6"/>
  <c r="B279" i="6"/>
  <c r="B257" i="6"/>
  <c r="B256" i="6"/>
  <c r="B337" i="6"/>
  <c r="B301" i="6"/>
  <c r="B255" i="6"/>
  <c r="B369" i="6"/>
  <c r="B367" i="6"/>
  <c r="B365" i="6"/>
  <c r="B363" i="6"/>
  <c r="B361" i="6"/>
  <c r="B359" i="6"/>
  <c r="B356" i="6"/>
  <c r="B353" i="6"/>
  <c r="B349" i="6"/>
  <c r="B338" i="6"/>
  <c r="B302" i="6"/>
  <c r="B277" i="6"/>
  <c r="B266" i="6"/>
  <c r="B265" i="6"/>
  <c r="B267" i="6"/>
  <c r="B272" i="6"/>
  <c r="B271" i="6"/>
  <c r="B270" i="6"/>
  <c r="B269" i="6"/>
  <c r="B268" i="6"/>
  <c r="B234" i="6"/>
  <c r="B230" i="6"/>
  <c r="B231" i="6"/>
  <c r="B227" i="6"/>
  <c r="B228" i="6"/>
  <c r="B229" i="6"/>
  <c r="B232" i="6"/>
  <c r="B252" i="6"/>
  <c r="B254" i="6"/>
  <c r="B253" i="6"/>
  <c r="B225" i="6"/>
  <c r="B222" i="6"/>
  <c r="B223" i="6"/>
  <c r="B251" i="6"/>
  <c r="B221" i="6"/>
  <c r="B218" i="6"/>
  <c r="B220" i="6"/>
  <c r="B249" i="6"/>
  <c r="B250" i="6"/>
  <c r="B247" i="6"/>
  <c r="B248" i="6"/>
  <c r="B245" i="6"/>
  <c r="B246" i="6"/>
  <c r="B244" i="6"/>
  <c r="B243" i="6"/>
  <c r="B242" i="6"/>
  <c r="B237" i="6"/>
  <c r="B204" i="6"/>
  <c r="B203" i="6"/>
  <c r="B191" i="6"/>
  <c r="B275" i="6"/>
  <c r="B241" i="6"/>
  <c r="B219" i="6"/>
  <c r="B217" i="6"/>
  <c r="B201" i="6"/>
  <c r="B172" i="6"/>
  <c r="B175" i="6"/>
  <c r="B200" i="6"/>
  <c r="B199" i="6"/>
  <c r="B195" i="6"/>
  <c r="B196" i="6"/>
  <c r="B197" i="6"/>
  <c r="B198" i="6"/>
  <c r="B216" i="6"/>
  <c r="B174" i="6"/>
  <c r="B171" i="6"/>
  <c r="B215" i="6"/>
  <c r="B214" i="6"/>
  <c r="B213" i="6"/>
  <c r="B212" i="6"/>
  <c r="B194" i="6"/>
  <c r="B167" i="6"/>
  <c r="B193" i="6"/>
  <c r="B238" i="6"/>
  <c r="B208" i="6"/>
  <c r="B192" i="6"/>
  <c r="B190" i="6"/>
  <c r="B187" i="6"/>
  <c r="B189" i="6"/>
  <c r="B188" i="6"/>
  <c r="B166" i="6"/>
  <c r="B165" i="6"/>
  <c r="B186" i="6"/>
  <c r="B148" i="6"/>
  <c r="B147" i="6"/>
  <c r="B144" i="6"/>
  <c r="B185" i="6"/>
  <c r="B164" i="6"/>
  <c r="B184" i="6"/>
  <c r="B183" i="6"/>
  <c r="B182" i="6"/>
  <c r="B181" i="6"/>
  <c r="B142" i="6"/>
  <c r="B163" i="6"/>
  <c r="B162" i="6"/>
  <c r="B140" i="6"/>
  <c r="B161" i="6"/>
  <c r="B160" i="6"/>
  <c r="B155" i="6"/>
  <c r="B158" i="6"/>
  <c r="B159" i="6"/>
  <c r="B157" i="6"/>
  <c r="B139" i="6"/>
  <c r="B119" i="6"/>
  <c r="B118" i="6"/>
  <c r="B117" i="6"/>
  <c r="B116" i="6"/>
  <c r="B115" i="6"/>
  <c r="B209" i="6"/>
  <c r="B176" i="6"/>
  <c r="B156" i="6"/>
  <c r="B112" i="6"/>
  <c r="B111" i="6"/>
  <c r="B110" i="6"/>
  <c r="B109" i="6"/>
  <c r="B108" i="6"/>
  <c r="B107" i="6"/>
  <c r="B106" i="6"/>
  <c r="B154" i="6"/>
  <c r="B153" i="6"/>
  <c r="B104" i="6"/>
  <c r="B103" i="6"/>
  <c r="B137" i="6"/>
  <c r="B102" i="6"/>
  <c r="B101" i="6"/>
  <c r="B350" i="6"/>
  <c r="B339" i="6"/>
  <c r="B303" i="6"/>
  <c r="B273" i="6"/>
  <c r="B239" i="6"/>
  <c r="B210" i="6"/>
  <c r="B177" i="6"/>
  <c r="B149" i="6"/>
  <c r="B123" i="6"/>
  <c r="B138" i="6"/>
  <c r="B136" i="6"/>
  <c r="B98" i="6"/>
  <c r="B99" i="6"/>
  <c r="B97" i="6"/>
  <c r="B96" i="6"/>
  <c r="B95" i="6"/>
  <c r="B135" i="6"/>
  <c r="B134" i="6"/>
  <c r="B85" i="6"/>
  <c r="B132" i="6"/>
  <c r="B133" i="6"/>
  <c r="B82" i="6"/>
  <c r="B180" i="6"/>
  <c r="B150" i="6"/>
  <c r="B121" i="6"/>
  <c r="B94" i="6"/>
  <c r="B93" i="6"/>
  <c r="B131" i="6"/>
  <c r="B130" i="6"/>
  <c r="B129" i="6"/>
  <c r="B128" i="6"/>
  <c r="B127" i="6"/>
  <c r="B126" i="6"/>
  <c r="B125" i="6"/>
  <c r="B80" i="6"/>
  <c r="B79" i="6"/>
  <c r="B120" i="6"/>
  <c r="B77" i="6"/>
  <c r="B76" i="6"/>
  <c r="B75" i="6"/>
  <c r="B92" i="6"/>
  <c r="B91" i="6"/>
  <c r="B90" i="6"/>
  <c r="B63" i="6"/>
  <c r="B58" i="6"/>
  <c r="B57" i="6"/>
  <c r="B59" i="6"/>
  <c r="B89" i="6"/>
  <c r="B88" i="6"/>
  <c r="B60" i="6"/>
  <c r="B56" i="6"/>
  <c r="B55" i="6"/>
  <c r="B74" i="6"/>
  <c r="B73" i="6"/>
  <c r="B53" i="6"/>
  <c r="B52" i="6"/>
  <c r="B72" i="6"/>
  <c r="B71" i="6"/>
  <c r="B70" i="6"/>
  <c r="B43" i="6"/>
  <c r="B68" i="6"/>
  <c r="B69" i="6"/>
  <c r="B37" i="6"/>
  <c r="B50" i="6"/>
  <c r="B36" i="6"/>
  <c r="B298" i="6"/>
  <c r="B264" i="6"/>
  <c r="B224" i="6"/>
  <c r="B51" i="6"/>
  <c r="B293" i="6"/>
  <c r="B49" i="6"/>
  <c r="B48" i="6"/>
  <c r="B47" i="6"/>
  <c r="B35" i="6"/>
  <c r="B20" i="6"/>
  <c r="B178" i="6"/>
  <c r="B151" i="6"/>
  <c r="B122" i="6"/>
  <c r="B86" i="6"/>
  <c r="B65" i="6"/>
  <c r="B42" i="6"/>
  <c r="B34" i="6"/>
  <c r="B46" i="6"/>
  <c r="B33" i="6"/>
  <c r="B66" i="6"/>
  <c r="B44" i="6"/>
  <c r="B23" i="6"/>
  <c r="B17" i="6"/>
  <c r="B15" i="6"/>
  <c r="B32" i="6"/>
  <c r="B31" i="6"/>
  <c r="B14" i="6"/>
  <c r="B9" i="6"/>
  <c r="B30" i="6"/>
  <c r="B29" i="6"/>
  <c r="B28" i="6"/>
  <c r="B6" i="6"/>
  <c r="B4" i="6"/>
  <c r="B292" i="6"/>
  <c r="B260" i="6"/>
  <c r="B233" i="6"/>
  <c r="B205" i="6"/>
  <c r="B170" i="6"/>
  <c r="B143" i="6"/>
  <c r="B105" i="6"/>
  <c r="B83" i="6"/>
  <c r="B62" i="6"/>
  <c r="B39" i="6"/>
  <c r="B19" i="6"/>
  <c r="B5" i="6"/>
  <c r="B27" i="6"/>
  <c r="B26" i="6"/>
  <c r="B25" i="6"/>
  <c r="B3" i="6"/>
  <c r="I285" i="5"/>
  <c r="B283" i="5"/>
  <c r="B114" i="6"/>
  <c r="B13" i="6"/>
  <c r="B295" i="6"/>
  <c r="B262" i="6"/>
  <c r="B236" i="6"/>
  <c r="B207" i="6"/>
  <c r="B173" i="6"/>
  <c r="B146" i="6"/>
  <c r="B81" i="6"/>
  <c r="B61" i="6"/>
  <c r="B41" i="6"/>
  <c r="B22" i="6"/>
  <c r="B8" i="6"/>
  <c r="B304" i="6"/>
  <c r="B274" i="6"/>
  <c r="B240" i="6"/>
  <c r="B211" i="6"/>
  <c r="B179" i="6"/>
  <c r="B152" i="6"/>
  <c r="B124" i="6"/>
  <c r="B87" i="6"/>
  <c r="B67" i="6"/>
  <c r="B45" i="6"/>
  <c r="B24" i="6"/>
  <c r="B318" i="6"/>
  <c r="B294" i="6"/>
  <c r="B261" i="6"/>
  <c r="B235" i="6"/>
  <c r="B206" i="6"/>
  <c r="B169" i="6"/>
  <c r="B145" i="6"/>
  <c r="B113" i="6"/>
  <c r="B84" i="6"/>
  <c r="B64" i="6"/>
  <c r="B40" i="6"/>
  <c r="B21" i="6"/>
  <c r="B329" i="6"/>
  <c r="B18" i="6"/>
  <c r="B289" i="6"/>
  <c r="B259" i="6"/>
  <c r="B226" i="6"/>
  <c r="B202" i="6"/>
  <c r="B168" i="6"/>
  <c r="B141" i="6"/>
  <c r="B100" i="6"/>
  <c r="B78" i="6"/>
  <c r="B54" i="6"/>
  <c r="B16" i="6"/>
  <c r="B2" i="6"/>
  <c r="B7" i="6"/>
  <c r="B10" i="6"/>
  <c r="B11" i="6"/>
  <c r="B12" i="6"/>
  <c r="B38" i="6"/>
  <c r="B282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E179" i="5"/>
  <c r="F179" i="5"/>
  <c r="F180" i="5"/>
  <c r="F181" i="5"/>
  <c r="F182" i="5"/>
  <c r="F183" i="5"/>
  <c r="F184" i="5"/>
  <c r="F185" i="5"/>
  <c r="F186" i="5"/>
  <c r="F187" i="5"/>
  <c r="E188" i="5"/>
  <c r="F188" i="5"/>
  <c r="F189" i="5"/>
  <c r="F190" i="5"/>
  <c r="F191" i="5"/>
  <c r="F192" i="5"/>
  <c r="F193" i="5"/>
  <c r="F194" i="5"/>
  <c r="F195" i="5"/>
  <c r="E196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E217" i="5"/>
  <c r="F217" i="5"/>
  <c r="F218" i="5"/>
  <c r="F219" i="5"/>
  <c r="F220" i="5"/>
  <c r="F221" i="5"/>
  <c r="F222" i="5"/>
  <c r="F223" i="5"/>
  <c r="F224" i="5"/>
  <c r="F225" i="5"/>
  <c r="F226" i="5"/>
  <c r="E227" i="5"/>
  <c r="F227" i="5"/>
  <c r="E228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E243" i="5"/>
  <c r="F243" i="5"/>
  <c r="F244" i="5"/>
  <c r="F245" i="5"/>
  <c r="F246" i="5"/>
  <c r="F247" i="5"/>
  <c r="F248" i="5"/>
  <c r="E249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E271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B281" i="5"/>
  <c r="B278" i="5"/>
  <c r="B269" i="5"/>
  <c r="B268" i="5"/>
  <c r="B267" i="5"/>
  <c r="B265" i="5"/>
  <c r="B266" i="5"/>
  <c r="B264" i="5"/>
  <c r="B274" i="5"/>
  <c r="B260" i="5"/>
  <c r="B262" i="5"/>
  <c r="B259" i="5"/>
  <c r="B277" i="5"/>
  <c r="B257" i="5"/>
  <c r="B276" i="5"/>
  <c r="B255" i="5"/>
  <c r="B280" i="5"/>
  <c r="B254" i="5"/>
  <c r="B253" i="5"/>
  <c r="D285" i="5"/>
  <c r="B275" i="5"/>
  <c r="B273" i="5"/>
  <c r="B252" i="5"/>
  <c r="B243" i="5"/>
  <c r="B238" i="5"/>
  <c r="B242" i="5"/>
  <c r="B241" i="5"/>
  <c r="B240" i="5"/>
  <c r="B272" i="5"/>
  <c r="B236" i="5"/>
  <c r="B237" i="5"/>
  <c r="B251" i="5"/>
  <c r="B235" i="5"/>
  <c r="B229" i="5"/>
  <c r="B230" i="5"/>
  <c r="B231" i="5"/>
  <c r="B232" i="5"/>
  <c r="B233" i="5"/>
  <c r="B250" i="5"/>
  <c r="B217" i="5"/>
  <c r="B216" i="5"/>
  <c r="B214" i="5"/>
  <c r="B271" i="5"/>
  <c r="B249" i="5"/>
  <c r="B270" i="5"/>
  <c r="B248" i="5"/>
  <c r="B228" i="5"/>
  <c r="B227" i="5"/>
  <c r="B247" i="5"/>
  <c r="B246" i="5"/>
  <c r="B245" i="5"/>
  <c r="B213" i="5"/>
  <c r="B212" i="5"/>
  <c r="B209" i="5"/>
  <c r="B208" i="5"/>
  <c r="B206" i="5"/>
  <c r="B205" i="5"/>
  <c r="B204" i="5"/>
  <c r="B207" i="5"/>
  <c r="B202" i="5"/>
  <c r="B201" i="5"/>
  <c r="B222" i="5"/>
  <c r="B221" i="5"/>
  <c r="B220" i="5"/>
  <c r="B218" i="5"/>
  <c r="B223" i="5"/>
  <c r="B224" i="5"/>
  <c r="B226" i="5"/>
  <c r="B225" i="5"/>
  <c r="B200" i="5"/>
  <c r="B219" i="5"/>
  <c r="B186" i="5"/>
  <c r="B199" i="5"/>
  <c r="B198" i="5"/>
  <c r="B196" i="5"/>
  <c r="B194" i="5"/>
  <c r="B180" i="5"/>
  <c r="B182" i="5"/>
  <c r="B197" i="5"/>
  <c r="B195" i="5"/>
  <c r="B193" i="5"/>
  <c r="B192" i="5"/>
  <c r="B191" i="5"/>
  <c r="B169" i="5"/>
  <c r="B179" i="5"/>
  <c r="B178" i="5"/>
  <c r="B177" i="5"/>
  <c r="B176" i="5"/>
  <c r="B174" i="5"/>
  <c r="B173" i="5"/>
  <c r="B172" i="5"/>
  <c r="B175" i="5"/>
  <c r="B187" i="5"/>
  <c r="B188" i="5"/>
  <c r="B189" i="5"/>
  <c r="B190" i="5"/>
  <c r="E105" i="5"/>
  <c r="B104" i="5"/>
  <c r="B105" i="5"/>
  <c r="E84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E135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77" i="5"/>
  <c r="E79" i="5"/>
  <c r="B79" i="5"/>
  <c r="E82" i="5"/>
  <c r="B83" i="5"/>
  <c r="B106" i="5"/>
  <c r="B108" i="5"/>
  <c r="B110" i="5"/>
  <c r="E112" i="5"/>
  <c r="B112" i="5"/>
  <c r="B138" i="5"/>
  <c r="B140" i="5"/>
  <c r="B141" i="5"/>
  <c r="B142" i="5"/>
  <c r="B144" i="5"/>
  <c r="E145" i="5"/>
  <c r="B145" i="5"/>
  <c r="E164" i="5"/>
  <c r="B164" i="5"/>
  <c r="B163" i="5"/>
  <c r="B162" i="5"/>
  <c r="B161" i="5"/>
  <c r="B160" i="5"/>
  <c r="B159" i="5"/>
  <c r="B158" i="5"/>
  <c r="E157" i="5"/>
  <c r="B157" i="5"/>
  <c r="B156" i="5"/>
  <c r="B155" i="5"/>
  <c r="B154" i="5"/>
  <c r="B153" i="5"/>
  <c r="B152" i="5"/>
  <c r="B151" i="5"/>
  <c r="B150" i="5"/>
  <c r="B149" i="5"/>
  <c r="B171" i="5"/>
  <c r="B170" i="5"/>
  <c r="B53" i="5"/>
  <c r="B52" i="5"/>
  <c r="B51" i="5"/>
  <c r="B72" i="5"/>
  <c r="B71" i="5"/>
  <c r="B70" i="5"/>
  <c r="B69" i="5"/>
  <c r="B58" i="5"/>
  <c r="B68" i="5"/>
  <c r="B65" i="5"/>
  <c r="B66" i="5"/>
  <c r="B64" i="5"/>
  <c r="F2" i="5"/>
  <c r="F3" i="5"/>
  <c r="F4" i="5"/>
  <c r="F5" i="5"/>
  <c r="F6" i="5"/>
  <c r="F7" i="5"/>
  <c r="F8" i="5"/>
  <c r="F9" i="5"/>
  <c r="F10" i="5"/>
  <c r="E11" i="5"/>
  <c r="E14" i="5"/>
  <c r="E19" i="5"/>
  <c r="E31" i="5"/>
  <c r="E33" i="5"/>
  <c r="E49" i="5"/>
  <c r="B67" i="5"/>
  <c r="B50" i="5"/>
  <c r="B63" i="5"/>
  <c r="B62" i="5"/>
  <c r="B61" i="5"/>
  <c r="B60" i="5"/>
  <c r="B59" i="5"/>
  <c r="B35" i="5"/>
  <c r="B49" i="5"/>
  <c r="B47" i="5"/>
  <c r="B46" i="5"/>
  <c r="B48" i="5"/>
  <c r="B45" i="5"/>
  <c r="B39" i="5"/>
  <c r="B44" i="5"/>
  <c r="B33" i="5"/>
  <c r="B43" i="5"/>
  <c r="B261" i="5"/>
  <c r="B239" i="5"/>
  <c r="B211" i="5"/>
  <c r="B183" i="5"/>
  <c r="B166" i="5"/>
  <c r="B146" i="5"/>
  <c r="B109" i="5"/>
  <c r="B80" i="5"/>
  <c r="B74" i="5"/>
  <c r="B55" i="5"/>
  <c r="B36" i="5"/>
  <c r="B9" i="5"/>
  <c r="B10" i="5"/>
  <c r="E255" i="4"/>
  <c r="E272" i="4"/>
  <c r="D289" i="4"/>
  <c r="B42" i="5"/>
  <c r="B4" i="5"/>
  <c r="B258" i="5"/>
  <c r="B210" i="5"/>
  <c r="B185" i="5"/>
  <c r="B168" i="5"/>
  <c r="B148" i="5"/>
  <c r="B139" i="5"/>
  <c r="B82" i="5"/>
  <c r="B76" i="5"/>
  <c r="B57" i="5"/>
  <c r="B38" i="5"/>
  <c r="B284" i="5"/>
  <c r="B256" i="5"/>
  <c r="B234" i="5"/>
  <c r="B203" i="5"/>
  <c r="B181" i="5"/>
  <c r="B165" i="5"/>
  <c r="B143" i="5"/>
  <c r="B107" i="5"/>
  <c r="B78" i="5"/>
  <c r="B73" i="5"/>
  <c r="B54" i="5"/>
  <c r="B279" i="5"/>
  <c r="B263" i="5"/>
  <c r="B244" i="5"/>
  <c r="B215" i="5"/>
  <c r="B184" i="5"/>
  <c r="B167" i="5"/>
  <c r="B147" i="5"/>
  <c r="B111" i="5"/>
  <c r="B81" i="5"/>
  <c r="B75" i="5"/>
  <c r="B56" i="5"/>
  <c r="B11" i="5"/>
  <c r="B31" i="5"/>
  <c r="B30" i="5"/>
  <c r="B12" i="5"/>
  <c r="B37" i="5"/>
  <c r="B41" i="5"/>
  <c r="B40" i="5"/>
  <c r="B3" i="5"/>
  <c r="B6" i="5"/>
  <c r="B34" i="5"/>
  <c r="B32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8" i="5"/>
  <c r="B7" i="5"/>
  <c r="B5" i="5"/>
  <c r="B2" i="5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D65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E84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E135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E189" i="4"/>
  <c r="F189" i="4"/>
  <c r="F190" i="4"/>
  <c r="F191" i="4"/>
  <c r="F192" i="4"/>
  <c r="F193" i="4"/>
  <c r="F194" i="4"/>
  <c r="F195" i="4"/>
  <c r="E196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E227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E244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B266" i="4"/>
  <c r="B281" i="4"/>
  <c r="B282" i="4"/>
  <c r="B283" i="4"/>
  <c r="B261" i="4"/>
  <c r="B260" i="4"/>
  <c r="B284" i="4"/>
  <c r="B263" i="4"/>
  <c r="B279" i="4"/>
  <c r="B276" i="4"/>
  <c r="B277" i="4"/>
  <c r="B278" i="4"/>
  <c r="B258" i="4"/>
  <c r="B265" i="4"/>
  <c r="B274" i="4"/>
  <c r="B273" i="4"/>
  <c r="B272" i="4"/>
  <c r="B271" i="4"/>
  <c r="B275" i="4"/>
  <c r="B239" i="4"/>
  <c r="C289" i="4"/>
  <c r="B264" i="4"/>
  <c r="B269" i="4"/>
  <c r="B270" i="4"/>
  <c r="B257" i="4"/>
  <c r="B268" i="4"/>
  <c r="B267" i="4"/>
  <c r="B256" i="4"/>
  <c r="B255" i="4"/>
  <c r="B254" i="4"/>
  <c r="B253" i="4"/>
  <c r="B252" i="4"/>
  <c r="B250" i="4"/>
  <c r="B251" i="4"/>
  <c r="B236" i="4"/>
  <c r="B249" i="4"/>
  <c r="B247" i="4"/>
  <c r="B248" i="4"/>
  <c r="B246" i="4"/>
  <c r="B245" i="4"/>
  <c r="B235" i="4"/>
  <c r="E288" i="4"/>
  <c r="B221" i="4"/>
  <c r="B280" i="4"/>
  <c r="B244" i="4"/>
  <c r="B234" i="4"/>
  <c r="B233" i="4"/>
  <c r="B232" i="4"/>
  <c r="B219" i="4"/>
  <c r="B231" i="4"/>
  <c r="B209" i="4"/>
  <c r="B207" i="4"/>
  <c r="B230" i="4"/>
  <c r="B225" i="4"/>
  <c r="B218" i="4"/>
  <c r="B229" i="4"/>
  <c r="B203" i="4"/>
  <c r="B204" i="4"/>
  <c r="B202" i="4"/>
  <c r="B201" i="4"/>
  <c r="B217" i="4"/>
  <c r="B216" i="4"/>
  <c r="B199" i="4"/>
  <c r="B198" i="4"/>
  <c r="B215" i="4"/>
  <c r="B214" i="4"/>
  <c r="B213" i="4"/>
  <c r="B212" i="4"/>
  <c r="B196" i="4"/>
  <c r="B195" i="4"/>
  <c r="B227" i="4"/>
  <c r="B177" i="4"/>
  <c r="B211" i="4"/>
  <c r="B194" i="4"/>
  <c r="B193" i="4"/>
  <c r="B192" i="4"/>
  <c r="B237" i="4"/>
  <c r="B220" i="4"/>
  <c r="B197" i="4"/>
  <c r="B174" i="4"/>
  <c r="B173" i="4"/>
  <c r="B180" i="4"/>
  <c r="B191" i="4"/>
  <c r="B190" i="4"/>
  <c r="B187" i="4"/>
  <c r="B188" i="4"/>
  <c r="B189" i="4"/>
  <c r="B182" i="4"/>
  <c r="B183" i="4"/>
  <c r="B184" i="4"/>
  <c r="B185" i="4"/>
  <c r="B186" i="4"/>
  <c r="B172" i="4"/>
  <c r="B165" i="4"/>
  <c r="B163" i="4"/>
  <c r="B162" i="4"/>
  <c r="B161" i="4"/>
  <c r="B160" i="4"/>
  <c r="B159" i="4"/>
  <c r="B170" i="4"/>
  <c r="B171" i="4"/>
  <c r="B156" i="4"/>
  <c r="B157" i="4"/>
  <c r="B169" i="4"/>
  <c r="B154" i="4"/>
  <c r="B153" i="4"/>
  <c r="B152" i="4"/>
  <c r="B155" i="4"/>
  <c r="B138" i="4"/>
  <c r="B135" i="4"/>
  <c r="B168" i="4"/>
  <c r="B167" i="4"/>
  <c r="B134" i="4"/>
  <c r="B133" i="4"/>
  <c r="B131" i="4"/>
  <c r="B146" i="4"/>
  <c r="B148" i="4"/>
  <c r="B149" i="4"/>
  <c r="B150" i="4"/>
  <c r="B151" i="4"/>
  <c r="B147" i="4"/>
  <c r="B145" i="4"/>
  <c r="B144" i="4"/>
  <c r="B122" i="4"/>
  <c r="B123" i="4"/>
  <c r="B120" i="4"/>
  <c r="B143" i="4"/>
  <c r="B140" i="4"/>
  <c r="B142" i="4"/>
  <c r="B117" i="4"/>
  <c r="B139" i="4"/>
  <c r="B130" i="4"/>
  <c r="B129" i="4"/>
  <c r="B114" i="4"/>
  <c r="B115" i="4"/>
  <c r="B118" i="4"/>
  <c r="B128" i="4"/>
  <c r="B113" i="4"/>
  <c r="B127" i="4"/>
  <c r="B126" i="4"/>
  <c r="B125" i="4"/>
  <c r="B89" i="4"/>
  <c r="B88" i="4"/>
  <c r="B92" i="4"/>
  <c r="B93" i="4"/>
  <c r="B94" i="4"/>
  <c r="B112" i="4"/>
  <c r="B111" i="4"/>
  <c r="B110" i="4"/>
  <c r="B109" i="4"/>
  <c r="B108" i="4"/>
  <c r="B107" i="4"/>
  <c r="B106" i="4"/>
  <c r="B87" i="4"/>
  <c r="B105" i="4"/>
  <c r="B99" i="4"/>
  <c r="B86" i="4"/>
  <c r="B85" i="4"/>
  <c r="B104" i="4"/>
  <c r="B103" i="4"/>
  <c r="B67" i="4"/>
  <c r="D285" i="4"/>
  <c r="B102" i="4"/>
  <c r="B63" i="4"/>
  <c r="B62" i="4"/>
  <c r="B61" i="4"/>
  <c r="B101" i="4"/>
  <c r="B100" i="4"/>
  <c r="B98" i="4"/>
  <c r="B60" i="4"/>
  <c r="B84" i="4"/>
  <c r="B83" i="4"/>
  <c r="B82" i="4"/>
  <c r="B81" i="4"/>
  <c r="B80" i="4"/>
  <c r="B57" i="4"/>
  <c r="B58" i="4"/>
  <c r="B79" i="4"/>
  <c r="B78" i="4"/>
  <c r="B68" i="4"/>
  <c r="B77" i="4"/>
  <c r="B76" i="4"/>
  <c r="B74" i="4"/>
  <c r="B75" i="4"/>
  <c r="B69" i="4"/>
  <c r="B70" i="4"/>
  <c r="B71" i="4"/>
  <c r="B49" i="4"/>
  <c r="B73" i="4"/>
  <c r="B56" i="4"/>
  <c r="B53" i="4"/>
  <c r="B54" i="4"/>
  <c r="B55" i="4"/>
  <c r="B44" i="4"/>
  <c r="B52" i="4"/>
  <c r="B243" i="4"/>
  <c r="B228" i="4"/>
  <c r="B210" i="4"/>
  <c r="B181" i="4"/>
  <c r="B166" i="4"/>
  <c r="B141" i="4"/>
  <c r="B124" i="4"/>
  <c r="B97" i="4"/>
  <c r="B72" i="4"/>
  <c r="B50" i="4"/>
  <c r="B34" i="4"/>
  <c r="B33" i="4"/>
  <c r="B32" i="4"/>
  <c r="B31" i="4"/>
  <c r="B37" i="4"/>
  <c r="B38" i="4"/>
  <c r="B51" i="4"/>
  <c r="B30" i="4"/>
  <c r="B29" i="4"/>
  <c r="B27" i="4"/>
  <c r="B26" i="4"/>
  <c r="B259" i="4"/>
  <c r="B262" i="4"/>
  <c r="B242" i="4"/>
  <c r="B241" i="4"/>
  <c r="B240" i="4"/>
  <c r="B238" i="4"/>
  <c r="B226" i="4"/>
  <c r="B224" i="4"/>
  <c r="B223" i="4"/>
  <c r="B222" i="4"/>
  <c r="B208" i="4"/>
  <c r="B206" i="4"/>
  <c r="B205" i="4"/>
  <c r="B200" i="4"/>
  <c r="B176" i="4"/>
  <c r="B179" i="4"/>
  <c r="B178" i="4"/>
  <c r="B175" i="4"/>
  <c r="B164" i="4"/>
  <c r="B158" i="4"/>
  <c r="B137" i="4"/>
  <c r="B136" i="4"/>
  <c r="B132" i="4"/>
  <c r="B116" i="4"/>
  <c r="B121" i="4"/>
  <c r="B119" i="4"/>
  <c r="B91" i="4"/>
  <c r="B96" i="4"/>
  <c r="B95" i="4"/>
  <c r="B90" i="4"/>
  <c r="B66" i="4"/>
  <c r="B65" i="4"/>
  <c r="B64" i="4"/>
  <c r="B46" i="4"/>
  <c r="B59" i="4"/>
  <c r="B47" i="4"/>
  <c r="B48" i="4"/>
  <c r="B43" i="4"/>
  <c r="B25" i="4"/>
  <c r="B24" i="4"/>
  <c r="B23" i="4"/>
  <c r="B22" i="4"/>
  <c r="B14" i="4"/>
  <c r="B15" i="4"/>
  <c r="B42" i="4"/>
  <c r="B41" i="4"/>
  <c r="B40" i="4"/>
  <c r="B11" i="4"/>
  <c r="B9" i="4"/>
  <c r="B8" i="4"/>
  <c r="B7" i="4"/>
  <c r="D60" i="3"/>
  <c r="E10" i="3"/>
  <c r="E60" i="3"/>
  <c r="F60" i="3"/>
  <c r="B6" i="4"/>
  <c r="B4" i="4"/>
  <c r="B5" i="4"/>
  <c r="B3" i="4"/>
  <c r="B2" i="4"/>
  <c r="B19" i="4"/>
  <c r="B20" i="4"/>
  <c r="B10" i="4"/>
  <c r="B12" i="4"/>
  <c r="B13" i="4"/>
  <c r="B16" i="4"/>
  <c r="B17" i="4"/>
  <c r="B18" i="4"/>
  <c r="B21" i="4"/>
  <c r="B28" i="4"/>
  <c r="B35" i="4"/>
  <c r="B36" i="4"/>
  <c r="B39" i="4"/>
  <c r="B45" i="4"/>
  <c r="B47" i="3"/>
  <c r="B43" i="3"/>
  <c r="B40" i="3"/>
  <c r="B41" i="3"/>
  <c r="B42" i="3"/>
  <c r="B30" i="3"/>
  <c r="B59" i="3"/>
  <c r="B55" i="3"/>
  <c r="B57" i="3"/>
  <c r="B49" i="3"/>
  <c r="B52" i="3"/>
  <c r="B29" i="3"/>
  <c r="B56" i="3"/>
  <c r="B48" i="3"/>
  <c r="B53" i="3"/>
  <c r="B54" i="3"/>
  <c r="B39" i="3"/>
  <c r="B50" i="3"/>
  <c r="B26" i="3"/>
  <c r="B23" i="3"/>
  <c r="B22" i="3"/>
  <c r="B21" i="3"/>
  <c r="B38" i="3"/>
  <c r="B19" i="3"/>
  <c r="B44" i="3"/>
  <c r="B28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1" i="3"/>
  <c r="B24" i="3"/>
  <c r="B25" i="3"/>
  <c r="B27" i="3"/>
  <c r="B20" i="3"/>
  <c r="B32" i="3"/>
  <c r="B33" i="3"/>
  <c r="B34" i="3"/>
  <c r="B35" i="3"/>
  <c r="B36" i="3"/>
  <c r="B37" i="3"/>
  <c r="B45" i="3"/>
  <c r="B46" i="3"/>
  <c r="B51" i="3"/>
  <c r="B5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D291" i="4"/>
  <c r="E285" i="4"/>
  <c r="F285" i="4"/>
  <c r="C291" i="4"/>
  <c r="E289" i="4"/>
  <c r="E291" i="4"/>
  <c r="J282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E285" i="5"/>
  <c r="F285" i="5"/>
  <c r="D371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E371" i="6"/>
  <c r="F37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J34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tc={E77F8815-F03C-EF4D-BD69-A66DE1099FAA}</author>
  </authors>
  <commentList>
    <comment ref="I285" authorId="0" shapeId="0" xr:uid="{E77F8815-F03C-EF4D-BD69-A66DE1099FA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2.000 vacanza
500 regalo raoul</t>
      </text>
    </comment>
  </commentList>
</comments>
</file>

<file path=xl/sharedStrings.xml><?xml version="1.0" encoding="utf-8"?>
<sst xmlns="http://schemas.openxmlformats.org/spreadsheetml/2006/main" count="1181" uniqueCount="217">
  <si>
    <t>DATA</t>
  </si>
  <si>
    <t>MESE</t>
  </si>
  <si>
    <t>CAUSALE</t>
  </si>
  <si>
    <t>ENTRATE</t>
  </si>
  <si>
    <t>USCITE</t>
  </si>
  <si>
    <t>SALDO</t>
  </si>
  <si>
    <t>COMMISSIONI</t>
  </si>
  <si>
    <t>CARBURANTE</t>
  </si>
  <si>
    <t>TIM</t>
  </si>
  <si>
    <t>PRELIEVO</t>
  </si>
  <si>
    <t>STIPENDIO</t>
  </si>
  <si>
    <t>CONTO COMUNE</t>
  </si>
  <si>
    <t>CAFFE'</t>
  </si>
  <si>
    <t>TOGETHER PRICE</t>
  </si>
  <si>
    <t>AMAZON</t>
  </si>
  <si>
    <t>RATEIZZAZIONE</t>
  </si>
  <si>
    <t>ZENZERO</t>
  </si>
  <si>
    <t>ROBOROCK</t>
  </si>
  <si>
    <t>RATA PRESTITO</t>
  </si>
  <si>
    <t>TICKETONE</t>
  </si>
  <si>
    <t>SI CON TE</t>
  </si>
  <si>
    <t>OVS</t>
  </si>
  <si>
    <t>MONTE URANO A DOMICILIO</t>
  </si>
  <si>
    <t>MOLINI</t>
  </si>
  <si>
    <t>SUSHIMI</t>
  </si>
  <si>
    <t>SAVELLI</t>
  </si>
  <si>
    <t>OASI</t>
  </si>
  <si>
    <t>FRITTO</t>
  </si>
  <si>
    <t>D+</t>
  </si>
  <si>
    <t>ACCONTO HOTEL</t>
  </si>
  <si>
    <t>RIMBORSO CARTA BANCOMAT</t>
  </si>
  <si>
    <t>PAGOPA</t>
  </si>
  <si>
    <t>IL PIRATA</t>
  </si>
  <si>
    <t>FIASTRA</t>
  </si>
  <si>
    <t>MARIANI</t>
  </si>
  <si>
    <t>ARROSTICCIAMO</t>
  </si>
  <si>
    <t>AUTOPOMPEI</t>
  </si>
  <si>
    <t>PAYPAL</t>
  </si>
  <si>
    <t>DANTE E GENTUCCA</t>
  </si>
  <si>
    <t>COLAZIONE</t>
  </si>
  <si>
    <t>FUNICOLARE</t>
  </si>
  <si>
    <t>VECCHIA POSTA</t>
  </si>
  <si>
    <t>CICLI BIZZARRI</t>
  </si>
  <si>
    <t>LA CICCIASCHERIA</t>
  </si>
  <si>
    <t>MON AMOUR</t>
  </si>
  <si>
    <t>CONTO COMUNE 730</t>
  </si>
  <si>
    <t>MULTA</t>
  </si>
  <si>
    <t>ASITE</t>
  </si>
  <si>
    <t>MC DONALDS</t>
  </si>
  <si>
    <t>QUOTA ANNUA CC</t>
  </si>
  <si>
    <t>ARROSTICIAMO</t>
  </si>
  <si>
    <t>BRUNICO</t>
  </si>
  <si>
    <t>KRONPLATZ</t>
  </si>
  <si>
    <t>RASUN</t>
  </si>
  <si>
    <t>FOTO BOB</t>
  </si>
  <si>
    <t>RINNOVO GOOGLE</t>
  </si>
  <si>
    <t>TARI</t>
  </si>
  <si>
    <t>PIZZA</t>
  </si>
  <si>
    <t>AGORA'</t>
  </si>
  <si>
    <t>CRYSTAL</t>
  </si>
  <si>
    <t>COAL</t>
  </si>
  <si>
    <t>CINESI</t>
  </si>
  <si>
    <t>LINEAR</t>
  </si>
  <si>
    <t>CEREALIA</t>
  </si>
  <si>
    <t>INTIMISSIMI</t>
  </si>
  <si>
    <t>ORIGINAL MARINES</t>
  </si>
  <si>
    <t>POZZACCI</t>
  </si>
  <si>
    <t>LA FESTA DEI SAPORI</t>
  </si>
  <si>
    <t>LA BRIOSA</t>
  </si>
  <si>
    <t>STIPENDIO 13°</t>
  </si>
  <si>
    <t>RIFER GOMME</t>
  </si>
  <si>
    <t>PEDAGGI</t>
  </si>
  <si>
    <t>Etichette di riga</t>
  </si>
  <si>
    <t>Somma di ENTRATE</t>
  </si>
  <si>
    <t>Somma di USCITE</t>
  </si>
  <si>
    <t>gennaio 2025</t>
  </si>
  <si>
    <t>febbraio 2025</t>
  </si>
  <si>
    <t>marzo 2025</t>
  </si>
  <si>
    <t>aprile 2025</t>
  </si>
  <si>
    <t>maggio 2025</t>
  </si>
  <si>
    <t>giugno 2025</t>
  </si>
  <si>
    <t>luglio 2025</t>
  </si>
  <si>
    <t>agosto 2025</t>
  </si>
  <si>
    <t>BONTA' IN TAVOLA</t>
  </si>
  <si>
    <t>settembre 2025</t>
  </si>
  <si>
    <t>ottobre 2025</t>
  </si>
  <si>
    <t>SHIO OMAKASE</t>
  </si>
  <si>
    <t>novembre 2025</t>
  </si>
  <si>
    <t>dicembre 2025</t>
  </si>
  <si>
    <t>Totale complessivo</t>
  </si>
  <si>
    <t>Totale</t>
  </si>
  <si>
    <t>ASSICURAZIONE 3</t>
  </si>
  <si>
    <t>VAFFANLUPPOLO</t>
  </si>
  <si>
    <t>SAL DE RISO</t>
  </si>
  <si>
    <t>LEGO</t>
  </si>
  <si>
    <t>MALTAGLIATI</t>
  </si>
  <si>
    <t>CAFFE' BELLI</t>
  </si>
  <si>
    <t>MEZZALUNA</t>
  </si>
  <si>
    <t>PIANO MULTISPESA</t>
  </si>
  <si>
    <t>AMAZON PRIME</t>
  </si>
  <si>
    <t>ECO CERTIFICAZIONI</t>
  </si>
  <si>
    <t>CAPOLINEA</t>
  </si>
  <si>
    <t>FIORI</t>
  </si>
  <si>
    <t xml:space="preserve">ZENZERO </t>
  </si>
  <si>
    <t>PIZZA FACTORY</t>
  </si>
  <si>
    <t>MECCANICO</t>
  </si>
  <si>
    <t>GELATO</t>
  </si>
  <si>
    <t>FARMACIA</t>
  </si>
  <si>
    <t>CESAR SALUMI</t>
  </si>
  <si>
    <t>PECCATI DI GOLA</t>
  </si>
  <si>
    <t>TFR</t>
  </si>
  <si>
    <t>AGRA MATER</t>
  </si>
  <si>
    <t>ALTAMAREA</t>
  </si>
  <si>
    <t>KOKONUTS</t>
  </si>
  <si>
    <t>SPESE E COMPETENZE</t>
  </si>
  <si>
    <t>GIUNTI</t>
  </si>
  <si>
    <t>DECATHLON</t>
  </si>
  <si>
    <t>TOUR SANTORINI</t>
  </si>
  <si>
    <t>GLOBO</t>
  </si>
  <si>
    <t>QUOTA CARTA DI CREDITO</t>
  </si>
  <si>
    <t>SALDO AL 08/08/2024</t>
  </si>
  <si>
    <t>OBI</t>
  </si>
  <si>
    <t>CS SPORT</t>
  </si>
  <si>
    <t>XVIDEO</t>
  </si>
  <si>
    <t>1° RATA TARI</t>
  </si>
  <si>
    <t>LEONI</t>
  </si>
  <si>
    <t>gennaio 2024</t>
  </si>
  <si>
    <t>febbraio 2024</t>
  </si>
  <si>
    <t>Intimissimi</t>
  </si>
  <si>
    <t>marzo 2024</t>
  </si>
  <si>
    <t>aprile 2024</t>
  </si>
  <si>
    <t>maggio 2024</t>
  </si>
  <si>
    <t>giugno 2024</t>
  </si>
  <si>
    <t>luglio 2024</t>
  </si>
  <si>
    <t>agosto 2024</t>
  </si>
  <si>
    <t>settembre 2024</t>
  </si>
  <si>
    <t>ottobre 2024</t>
  </si>
  <si>
    <t>novembre 2024</t>
  </si>
  <si>
    <t>dicembre 2024</t>
  </si>
  <si>
    <t>DA RIMETTERE</t>
  </si>
  <si>
    <t>SAND CREEK</t>
  </si>
  <si>
    <t>2° RATA GOMME</t>
  </si>
  <si>
    <t>ORZO</t>
  </si>
  <si>
    <t>IKEA</t>
  </si>
  <si>
    <t>JUSTEAT</t>
  </si>
  <si>
    <t>BOLLO</t>
  </si>
  <si>
    <t>3° RATA GOMME</t>
  </si>
  <si>
    <t>NETATMO</t>
  </si>
  <si>
    <t>VISITA OCCHI</t>
  </si>
  <si>
    <t>PELLEGRINI</t>
  </si>
  <si>
    <t>BONIFICO DA LAURA</t>
  </si>
  <si>
    <t>STIPENDIO + TFR</t>
  </si>
  <si>
    <t>SOLDI A LAURA</t>
  </si>
  <si>
    <t>ESTELABABY</t>
  </si>
  <si>
    <t>VINATTIERE</t>
  </si>
  <si>
    <t>BAR MOLINI</t>
  </si>
  <si>
    <t>SORELLE SISTI</t>
  </si>
  <si>
    <t>TAGLIANDO</t>
  </si>
  <si>
    <t>LA FENICE</t>
  </si>
  <si>
    <t>GOOGLE</t>
  </si>
  <si>
    <t>IAMAKI</t>
  </si>
  <si>
    <t>PINOCCHIO</t>
  </si>
  <si>
    <t>TOYS</t>
  </si>
  <si>
    <t>POSTEPAY</t>
  </si>
  <si>
    <t>RINNOVO CARTA CREDITO</t>
  </si>
  <si>
    <t>TICKET ONE</t>
  </si>
  <si>
    <t>TVS</t>
  </si>
  <si>
    <t>CANONE</t>
  </si>
  <si>
    <t>MUNUS RISTORANTE</t>
  </si>
  <si>
    <t>QUOTA CARTA CREDITO</t>
  </si>
  <si>
    <t>SPESA</t>
  </si>
  <si>
    <t>CUSCINO RELAX</t>
  </si>
  <si>
    <t>MARMETTA</t>
  </si>
  <si>
    <t>1° QUOTA OTTOBRE</t>
  </si>
  <si>
    <t>PRELIEVO X REGALO</t>
  </si>
  <si>
    <t>2° QUOTA OTTOBRE</t>
  </si>
  <si>
    <t>CINGHIA</t>
  </si>
  <si>
    <t>ANCESTRY</t>
  </si>
  <si>
    <t>2° RATA TARI</t>
  </si>
  <si>
    <t>ASSICURAZIONE 1</t>
  </si>
  <si>
    <t>3° RATA TARI</t>
  </si>
  <si>
    <t>Etichette di colonna</t>
  </si>
  <si>
    <t>gennaio 2023</t>
  </si>
  <si>
    <t>febbraio 2023</t>
  </si>
  <si>
    <t>marzo 2023</t>
  </si>
  <si>
    <t>aprile 2023</t>
  </si>
  <si>
    <t>maggio 2023</t>
  </si>
  <si>
    <t>giugno 2023</t>
  </si>
  <si>
    <t>luglio 2023</t>
  </si>
  <si>
    <t>agosto 2023</t>
  </si>
  <si>
    <t>settembre 2023</t>
  </si>
  <si>
    <t>ottobre 2023</t>
  </si>
  <si>
    <t>novembre 2023</t>
  </si>
  <si>
    <t>dicembre 2023</t>
  </si>
  <si>
    <t>ASSICURAZIONE 2</t>
  </si>
  <si>
    <t>Laura</t>
  </si>
  <si>
    <t>Simone</t>
  </si>
  <si>
    <t>da Rimettere</t>
  </si>
  <si>
    <t>DA RIMETTERE SUL CONTO</t>
  </si>
  <si>
    <t>NEGRITELLA</t>
  </si>
  <si>
    <t>COMPLEANNO AURORA + BONIFICO C/ COMUNE</t>
  </si>
  <si>
    <t>TOGHETPRICE</t>
  </si>
  <si>
    <t>ASSICURAZIONE</t>
  </si>
  <si>
    <t>PASTIGLIE LAVASTOVIGLIE</t>
  </si>
  <si>
    <t>STAFFA TV</t>
  </si>
  <si>
    <t>FIGARO</t>
  </si>
  <si>
    <t>PORCOBRADO</t>
  </si>
  <si>
    <t>BOLLO CC</t>
  </si>
  <si>
    <t>PLAY STORE</t>
  </si>
  <si>
    <t>INTIMO</t>
  </si>
  <si>
    <t>1° RATA GOMME</t>
  </si>
  <si>
    <t>E-DISTRIBUZIONE</t>
  </si>
  <si>
    <t>JUST EAT</t>
  </si>
  <si>
    <t>CROSTATA</t>
  </si>
  <si>
    <t>RIFER</t>
  </si>
  <si>
    <t>novembre 2022</t>
  </si>
  <si>
    <t>dicembre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</si>
</sst>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2" fillId="2" borderId="2" xfId="0" applyNumberFormat="1" applyFon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/>
    <xf numFmtId="44" fontId="2" fillId="2" borderId="2" xfId="1" applyFont="1" applyFill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44" fontId="0" fillId="0" borderId="1" xfId="1" applyFont="1" applyFill="1" applyBorder="1"/>
    <xf numFmtId="164" fontId="0" fillId="0" borderId="3" xfId="0" applyNumberFormat="1" applyBorder="1"/>
    <xf numFmtId="14" fontId="0" fillId="0" borderId="3" xfId="0" applyNumberFormat="1" applyBorder="1"/>
    <xf numFmtId="0" fontId="0" fillId="0" borderId="3" xfId="0" applyBorder="1"/>
    <xf numFmtId="44" fontId="0" fillId="0" borderId="3" xfId="1" applyFont="1" applyFill="1" applyBorder="1"/>
    <xf numFmtId="44" fontId="0" fillId="0" borderId="3" xfId="0" applyNumberFormat="1" applyBorder="1"/>
    <xf numFmtId="165" fontId="3" fillId="3" borderId="3" xfId="0" applyNumberFormat="1" applyFont="1" applyFill="1" applyBorder="1"/>
    <xf numFmtId="164" fontId="4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44" fontId="4" fillId="0" borderId="1" xfId="1" applyFont="1" applyFill="1" applyBorder="1"/>
    <xf numFmtId="0" fontId="0" fillId="0" borderId="0" xfId="0" applyAlignment="1">
      <alignment vertical="top" wrapText="1"/>
    </xf>
    <xf numFmtId="44" fontId="0" fillId="0" borderId="1" xfId="1" applyFont="1" applyBorder="1"/>
    <xf numFmtId="0" fontId="0" fillId="0" borderId="7" xfId="0" applyBorder="1"/>
    <xf numFmtId="44" fontId="0" fillId="0" borderId="6" xfId="0" applyNumberFormat="1" applyBorder="1"/>
    <xf numFmtId="164" fontId="0" fillId="0" borderId="4" xfId="0" applyNumberFormat="1" applyBorder="1"/>
    <xf numFmtId="44" fontId="0" fillId="0" borderId="5" xfId="1" applyFont="1" applyFill="1" applyBorder="1"/>
    <xf numFmtId="164" fontId="0" fillId="0" borderId="7" xfId="0" applyNumberFormat="1" applyBorder="1"/>
    <xf numFmtId="44" fontId="3" fillId="3" borderId="3" xfId="0" applyNumberFormat="1" applyFont="1" applyFill="1" applyBorder="1"/>
    <xf numFmtId="44" fontId="0" fillId="0" borderId="5" xfId="1" applyFont="1" applyBorder="1"/>
    <xf numFmtId="44" fontId="0" fillId="0" borderId="3" xfId="1" applyFont="1" applyBorder="1"/>
    <xf numFmtId="44" fontId="0" fillId="4" borderId="1" xfId="1" applyFont="1" applyFill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2">
    <cellStyle name="Normale" xfId="0" builtinId="0"/>
    <cellStyle name="Valuta" xfId="1" builtinId="4"/>
  </cellStyles>
  <dxfs count="78"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4" formatCode="[$-F800]dddd\,\ mmmm\ dd\,\ yyyy"/>
    </dxf>
    <dxf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* #,##0.00\ &quot;€&quot;_-;\-* #,##0.00\ &quot;€&quot;_-;_-* &quot;-&quot;??\ &quot;€&quot;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solid">
          <fgColor theme="4"/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numFmt numFmtId="34" formatCode="_-* #,##0.00\ &quot;€&quot;_-;\-* #,##0.00\ &quot;€&quot;_-;_-* &quot;-&quot;??\ &quot;€&quot;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solid">
          <fgColor theme="4"/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numFmt numFmtId="34" formatCode="_-* #,##0.00\ &quot;€&quot;_-;\-* #,##0.00\ &quot;€&quot;_-;_-* &quot;-&quot;??\ &quot;€&quot;_-;_-@_-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none"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bubu@tiscalinet.it" id="{ADD4ED00-086E-8346-AA21-16F147F038BD}" userId="efa9fde6625bbf32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3.462815740742" createdVersion="8" refreshedVersion="8" minRefreshableVersion="3" recordCount="58" xr:uid="{A39D94C6-6189-4CAA-8332-DD137FCE46B0}">
  <cacheSource type="worksheet">
    <worksheetSource name="Budget22"/>
  </cacheSource>
  <cacheFields count="6">
    <cacheField name="DATA" numFmtId="164">
      <sharedItems containsSemiMixedTypes="0" containsNonDate="0" containsDate="1" containsString="0" minDate="2022-11-01T00:00:00" maxDate="2023-03-01T00:00:00"/>
    </cacheField>
    <cacheField name="MESE" numFmtId="14">
      <sharedItems count="5">
        <s v="novembre 2022"/>
        <s v="dicembre 2022"/>
        <s v="gennaio 2023"/>
        <s v="febbraio 2023"/>
        <s v="dicembre 2023" u="1"/>
      </sharedItems>
    </cacheField>
    <cacheField name="CAUSALE" numFmtId="0">
      <sharedItems/>
    </cacheField>
    <cacheField name="ENTRATE" numFmtId="44">
      <sharedItems containsString="0" containsBlank="1" containsNumber="1" minValue="783.7" maxValue="1831"/>
    </cacheField>
    <cacheField name="USCITE" numFmtId="44">
      <sharedItems containsString="0" containsBlank="1" containsNumber="1" minValue="1.0900000000000001" maxValue="500.5"/>
    </cacheField>
    <cacheField name="SALDO" numFmtId="44">
      <sharedItems containsSemiMixedTypes="0" containsString="0" containsNumber="1" minValue="264.73000000000025" maxValue="4097.2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3.462815740742" createdVersion="8" refreshedVersion="8" minRefreshableVersion="3" recordCount="283" xr:uid="{A7228200-82F6-4452-9557-C233C2004A77}">
  <cacheSource type="worksheet">
    <worksheetSource name="Budget23"/>
  </cacheSource>
  <cacheFields count="6">
    <cacheField name="DATA" numFmtId="164">
      <sharedItems containsSemiMixedTypes="0" containsNonDate="0" containsDate="1" containsString="0" minDate="2023-01-01T00:00:00" maxDate="2024-02-01T00:00:00"/>
    </cacheField>
    <cacheField name="MESE" numFmtId="14">
      <sharedItems count="13">
        <s v="gennaio 2023"/>
        <s v="febbraio 2023"/>
        <s v="marzo 2023"/>
        <s v="aprile 2023"/>
        <s v="maggio 2023"/>
        <s v="giugno 2023"/>
        <s v="luglio 2023"/>
        <s v="agosto 2023"/>
        <s v="settembre 2023"/>
        <s v="ottobre 2023"/>
        <s v="novembre 2023"/>
        <s v="dicembre 2023"/>
        <s v="gennaio 2024"/>
      </sharedItems>
    </cacheField>
    <cacheField name="CAUSALE" numFmtId="0">
      <sharedItems count="81">
        <s v="SALDO"/>
        <s v="PRELIEVO"/>
        <s v="CARBURANTE"/>
        <s v="OASI"/>
        <s v="PIZZA"/>
        <s v="COMMISSIONI"/>
        <s v="SAND CREEK"/>
        <s v="POZZACCI"/>
        <s v="TIM"/>
        <s v="STIPENDIO"/>
        <s v="CONTO COMUNE"/>
        <s v="2° RATA GOMME"/>
        <s v="ORZO"/>
        <s v="AMAZON"/>
        <s v="TOGETHER PRICE"/>
        <s v="IKEA"/>
        <s v="JUSTEAT"/>
        <s v="RATA PRESTITO"/>
        <s v="PEDAGGI"/>
        <s v="COLAZIONE"/>
        <s v="BOLLO"/>
        <s v="3° RATA GOMME"/>
        <s v="OVS"/>
        <s v="NETATMO"/>
        <s v="VISITA OCCHI"/>
        <s v="PELLEGRINI"/>
        <s v="BONIFICO DA LAURA"/>
        <s v="STIPENDIO + TFR"/>
        <s v="SOLDI A LAURA"/>
        <s v="SAVELLI"/>
        <s v="ESTELABABY"/>
        <s v="VINATTIERE"/>
        <s v="FARMACIA"/>
        <s v="BAR MOLINI"/>
        <s v="SORELLE SISTI"/>
        <s v="TAGLIANDO"/>
        <s v="LA FENICE"/>
        <s v="KOKONUTS"/>
        <s v="MULTA"/>
        <s v="MEZZALUNA"/>
        <s v="GOOGLE"/>
        <s v="IAMAKI"/>
        <s v="PINOCCHIO"/>
        <s v="TOYS"/>
        <s v="POSTEPAY"/>
        <s v="RINNOVO CARTA CREDITO"/>
        <s v="TICKET ONE"/>
        <s v="TVS"/>
        <s v="CANONE"/>
        <s v="RIFER GOMME"/>
        <s v="MUNUS RISTORANTE"/>
        <s v="QUOTA CARTA CREDITO"/>
        <s v="SPESA"/>
        <s v="GELATO"/>
        <s v="CUSCINO RELAX"/>
        <s v="MOLINI"/>
        <s v="INTIMISSIMI"/>
        <s v="CS SPORT"/>
        <s v="MARMETTA"/>
        <s v="1° RATA TARI"/>
        <s v="1° QUOTA OTTOBRE"/>
        <s v="PRELIEVO X REGALO"/>
        <s v="2° QUOTA OTTOBRE"/>
        <s v="CINGHIA"/>
        <s v="ANCESTRY"/>
        <s v="2° RATA TARI"/>
        <s v="ASSICURAZIONE 1"/>
        <s v="3° RATA TARI"/>
        <s v="ASSICURAZIONE 2"/>
        <s v="D+"/>
        <s v="ZENZERO"/>
        <s v="STIPENDIO 13°"/>
        <s v="ASSICURAZIONE 3"/>
        <s v="VAFFANLUPPOLO"/>
        <s v="SAL DE RISO"/>
        <s v="SI CON TE"/>
        <s v="LEGO"/>
        <s v="MALTAGLIATI"/>
        <s v="CAFFE' BELLI"/>
        <s v="AMAZON PRIME"/>
        <s v="ASSICURAZIONE" u="1"/>
      </sharedItems>
    </cacheField>
    <cacheField name="ENTRATE" numFmtId="44">
      <sharedItems containsString="0" containsBlank="1" containsNumber="1" minValue="25.98" maxValue="6803"/>
    </cacheField>
    <cacheField name="USCITE" numFmtId="44">
      <sharedItems containsString="0" containsBlank="1" containsNumber="1" minValue="0" maxValue="1074.5"/>
    </cacheField>
    <cacheField name="SALDO" numFmtId="44">
      <sharedItems containsSemiMixedTypes="0" containsString="0" containsNumber="1" minValue="-82.089999999997502" maxValue="7121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3.46281597222" createdVersion="8" refreshedVersion="8" minRefreshableVersion="3" recordCount="283" xr:uid="{2945D033-BE37-48AE-B9D7-8E9C7E652890}">
  <cacheSource type="worksheet">
    <worksheetSource name="Budget233"/>
  </cacheSource>
  <cacheFields count="6">
    <cacheField name="DATA" numFmtId="164">
      <sharedItems containsSemiMixedTypes="0" containsNonDate="0" containsDate="1" containsString="0" minDate="2024-01-01T00:00:00" maxDate="2025-01-01T00:00:00"/>
    </cacheField>
    <cacheField name="MESE" numFmtId="14">
      <sharedItems count="13">
        <s v="gennaio 2024"/>
        <s v="febbraio 2024"/>
        <s v="marzo 2024"/>
        <s v="aprile 2024"/>
        <s v="maggio 2024"/>
        <s v="giugno 2024"/>
        <s v="luglio 2024"/>
        <s v="agosto 2024"/>
        <s v="settembre 2024"/>
        <s v="ottobre 2024"/>
        <s v="novembre 2024"/>
        <s v="dicembre 2024"/>
        <s v="gennaio 2025" u="1"/>
      </sharedItems>
    </cacheField>
    <cacheField name="CAUSALE" numFmtId="0">
      <sharedItems/>
    </cacheField>
    <cacheField name="ENTRATE" numFmtId="44">
      <sharedItems containsString="0" containsBlank="1" containsNumber="1" minValue="676.19" maxValue="10010"/>
    </cacheField>
    <cacheField name="USCITE" numFmtId="44">
      <sharedItems containsString="0" containsBlank="1" containsNumber="1" minValue="-1057.3200000000002" maxValue="5000.5"/>
    </cacheField>
    <cacheField name="SALDO" numFmtId="44">
      <sharedItems containsSemiMixedTypes="0" containsString="0" containsNumber="1" minValue="86.130000000000166" maxValue="12188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imone Tarquini" refreshedDate="46034.578140972226" createdVersion="8" refreshedVersion="8" minRefreshableVersion="3" recordCount="369" xr:uid="{76DEAA69-C110-4C5C-8AF7-8FDF4BDEF97F}">
  <cacheSource type="worksheet">
    <worksheetSource name="Tabella3"/>
  </cacheSource>
  <cacheFields count="6">
    <cacheField name="DATA" numFmtId="164">
      <sharedItems containsSemiMixedTypes="0" containsNonDate="0" containsDate="1" containsString="0" minDate="2025-01-01T00:00:00" maxDate="2026-11-04T00:00:00"/>
    </cacheField>
    <cacheField name="MESE" numFmtId="14">
      <sharedItems count="23">
        <s v="gennaio 2025"/>
        <s v="febbraio 2025"/>
        <s v="marzo 2025"/>
        <s v="aprile 2025"/>
        <s v="maggio 2025"/>
        <s v="giugno 2025"/>
        <s v="luglio 2025"/>
        <s v="agosto 2025"/>
        <s v="settembre 2025"/>
        <s v="ottobre 2025"/>
        <s v="novembre 2025"/>
        <s v="dicembre 2025"/>
        <s v="gennaio 2026"/>
        <s v="febbraio 2026"/>
        <s v="marzo 2026"/>
        <s v="aprile 2026"/>
        <s v="maggio 2026"/>
        <s v="giugno 2026"/>
        <s v="luglio 2026"/>
        <s v="agosto 2026"/>
        <s v="settembre 2026"/>
        <s v="ottobre 2026"/>
        <s v="novembre 2026"/>
      </sharedItems>
    </cacheField>
    <cacheField name="CAUSALE" numFmtId="0">
      <sharedItems containsBlank="1" containsMixedTypes="1" containsNumber="1" containsInteger="1" minValue="76" maxValue="76"/>
    </cacheField>
    <cacheField name="ENTRATE" numFmtId="44">
      <sharedItems containsString="0" containsBlank="1" containsNumber="1" minValue="1.02" maxValue="2735"/>
    </cacheField>
    <cacheField name="USCITE" numFmtId="44">
      <sharedItems containsString="0" containsBlank="1" containsNumber="1" minValue="-750.5" maxValue="1000.5"/>
    </cacheField>
    <cacheField name="SALDO" numFmtId="44">
      <sharedItems containsSemiMixedTypes="0" containsString="0" containsNumber="1" minValue="-2244.6240000000012" maxValue="2805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d v="2022-11-01T00:00:00"/>
    <x v="0"/>
    <s v="SALDO"/>
    <n v="783.7"/>
    <m/>
    <n v="783.7"/>
  </r>
  <r>
    <d v="2022-11-03T00:00:00"/>
    <x v="0"/>
    <s v="CARBURANTE"/>
    <m/>
    <n v="55"/>
    <n v="728.7"/>
  </r>
  <r>
    <d v="2022-11-07T00:00:00"/>
    <x v="0"/>
    <s v="CARBURANTE"/>
    <m/>
    <n v="19"/>
    <n v="709.7"/>
  </r>
  <r>
    <d v="2022-11-07T00:00:00"/>
    <x v="0"/>
    <s v="CARBURANTE"/>
    <m/>
    <n v="28.46"/>
    <n v="681.24"/>
  </r>
  <r>
    <d v="2022-11-08T00:00:00"/>
    <x v="0"/>
    <s v="TIM"/>
    <m/>
    <n v="44.87"/>
    <n v="636.37"/>
  </r>
  <r>
    <d v="2022-11-14T00:00:00"/>
    <x v="0"/>
    <s v="CARBURANTE"/>
    <m/>
    <n v="25.3"/>
    <n v="611.07000000000005"/>
  </r>
  <r>
    <d v="2022-11-14T00:00:00"/>
    <x v="0"/>
    <s v="PRELIEVO"/>
    <m/>
    <n v="100"/>
    <n v="511.07000000000005"/>
  </r>
  <r>
    <d v="2022-11-14T00:00:00"/>
    <x v="0"/>
    <s v="STIPENDIO"/>
    <n v="1707"/>
    <m/>
    <n v="2218.0700000000002"/>
  </r>
  <r>
    <d v="2022-11-14T00:00:00"/>
    <x v="0"/>
    <s v="CONTO COMUNE"/>
    <m/>
    <n v="440.5"/>
    <n v="1777.5700000000002"/>
  </r>
  <r>
    <d v="2022-11-15T00:00:00"/>
    <x v="0"/>
    <s v="TOGHETPRICE"/>
    <m/>
    <n v="3.49"/>
    <n v="1774.0800000000002"/>
  </r>
  <r>
    <d v="2022-11-15T00:00:00"/>
    <x v="0"/>
    <s v="ASSICURAZIONE"/>
    <m/>
    <n v="249.11"/>
    <n v="1524.9700000000003"/>
  </r>
  <r>
    <d v="2022-11-15T00:00:00"/>
    <x v="0"/>
    <s v="PASTIGLIE LAVASTOVIGLIE"/>
    <m/>
    <n v="13.8"/>
    <n v="1511.1700000000003"/>
  </r>
  <r>
    <d v="2022-11-15T00:00:00"/>
    <x v="0"/>
    <s v="STAFFA TV"/>
    <m/>
    <n v="44.99"/>
    <n v="1466.1800000000003"/>
  </r>
  <r>
    <d v="2022-11-15T00:00:00"/>
    <x v="0"/>
    <s v="CAFFE'"/>
    <m/>
    <n v="12.99"/>
    <n v="1453.1900000000003"/>
  </r>
  <r>
    <d v="2022-11-15T00:00:00"/>
    <x v="0"/>
    <s v="FIGARO"/>
    <m/>
    <n v="47.7"/>
    <n v="1405.4900000000002"/>
  </r>
  <r>
    <d v="2022-11-15T00:00:00"/>
    <x v="0"/>
    <s v="PORCOBRADO"/>
    <m/>
    <n v="25.6"/>
    <n v="1379.8900000000003"/>
  </r>
  <r>
    <d v="2022-11-15T00:00:00"/>
    <x v="0"/>
    <s v="CAFFE'"/>
    <m/>
    <n v="19.739999999999998"/>
    <n v="1360.1500000000003"/>
  </r>
  <r>
    <d v="2022-11-15T00:00:00"/>
    <x v="0"/>
    <s v="BOLLO CC"/>
    <m/>
    <n v="2"/>
    <n v="1358.1500000000003"/>
  </r>
  <r>
    <d v="2022-11-21T00:00:00"/>
    <x v="0"/>
    <s v="CONTO COMUNE"/>
    <m/>
    <n v="500.5"/>
    <n v="857.65000000000032"/>
  </r>
  <r>
    <d v="2022-11-21T00:00:00"/>
    <x v="0"/>
    <s v="ZENZERO"/>
    <m/>
    <n v="75.23"/>
    <n v="782.4200000000003"/>
  </r>
  <r>
    <d v="2022-11-21T00:00:00"/>
    <x v="0"/>
    <s v="PIZZA"/>
    <m/>
    <n v="15"/>
    <n v="767.4200000000003"/>
  </r>
  <r>
    <d v="2022-11-21T00:00:00"/>
    <x v="0"/>
    <s v="CARBURANTE"/>
    <m/>
    <n v="26.82"/>
    <n v="740.60000000000025"/>
  </r>
  <r>
    <d v="2022-11-30T00:00:00"/>
    <x v="0"/>
    <s v="RATA PRESTITO"/>
    <m/>
    <n v="307.01"/>
    <n v="433.59000000000026"/>
  </r>
  <r>
    <d v="2022-11-30T00:00:00"/>
    <x v="0"/>
    <s v="TARI"/>
    <m/>
    <n v="109"/>
    <n v="324.59000000000026"/>
  </r>
  <r>
    <d v="2022-11-30T00:00:00"/>
    <x v="0"/>
    <s v="PLAY STORE"/>
    <m/>
    <n v="14.99"/>
    <n v="309.60000000000025"/>
  </r>
  <r>
    <d v="2022-12-08T00:00:00"/>
    <x v="1"/>
    <s v="TIM"/>
    <m/>
    <n v="44.87"/>
    <n v="264.73000000000025"/>
  </r>
  <r>
    <d v="2022-12-12T00:00:00"/>
    <x v="1"/>
    <s v="STIPENDIO"/>
    <n v="1831"/>
    <m/>
    <n v="2095.7300000000005"/>
  </r>
  <r>
    <d v="2022-12-13T00:00:00"/>
    <x v="1"/>
    <s v="CONTO COMUNE"/>
    <m/>
    <n v="500.5"/>
    <n v="1595.2300000000005"/>
  </r>
  <r>
    <d v="2022-12-13T00:00:00"/>
    <x v="1"/>
    <s v="CARBURANTE"/>
    <m/>
    <n v="29"/>
    <n v="1566.2300000000005"/>
  </r>
  <r>
    <d v="2022-12-15T00:00:00"/>
    <x v="1"/>
    <s v="CAFFE'"/>
    <m/>
    <n v="18.66"/>
    <n v="1547.5700000000004"/>
  </r>
  <r>
    <d v="2022-12-15T00:00:00"/>
    <x v="1"/>
    <s v="TOGHETPRICE"/>
    <m/>
    <n v="3.65"/>
    <n v="1543.9200000000003"/>
  </r>
  <r>
    <d v="2022-12-15T00:00:00"/>
    <x v="1"/>
    <s v="AMAZON"/>
    <m/>
    <n v="70.98"/>
    <n v="1472.9400000000003"/>
  </r>
  <r>
    <d v="2022-12-15T00:00:00"/>
    <x v="1"/>
    <s v="INTIMO"/>
    <m/>
    <n v="13.95"/>
    <n v="1458.9900000000002"/>
  </r>
  <r>
    <d v="2022-12-15T00:00:00"/>
    <x v="1"/>
    <s v="PIZZA"/>
    <m/>
    <n v="59"/>
    <n v="1399.9900000000002"/>
  </r>
  <r>
    <d v="2022-12-15T00:00:00"/>
    <x v="1"/>
    <s v="1° RATA GOMME"/>
    <m/>
    <n v="87.93"/>
    <n v="1312.0600000000002"/>
  </r>
  <r>
    <d v="2022-12-15T00:00:00"/>
    <x v="1"/>
    <s v="E-DISTRIBUZIONE"/>
    <m/>
    <n v="1.0900000000000001"/>
    <n v="1310.9700000000003"/>
  </r>
  <r>
    <d v="2022-12-15T00:00:00"/>
    <x v="1"/>
    <s v="BOLLO CC"/>
    <m/>
    <n v="2"/>
    <n v="1308.9700000000003"/>
  </r>
  <r>
    <d v="2022-12-15T00:00:00"/>
    <x v="1"/>
    <s v="JUST EAT"/>
    <m/>
    <n v="32.5"/>
    <n v="1276.4700000000003"/>
  </r>
  <r>
    <d v="2022-12-16T00:00:00"/>
    <x v="1"/>
    <s v="CROSTATA"/>
    <m/>
    <n v="14"/>
    <n v="1262.4700000000003"/>
  </r>
  <r>
    <d v="2022-12-16T00:00:00"/>
    <x v="1"/>
    <s v="RIFER"/>
    <m/>
    <n v="40"/>
    <n v="1222.4700000000003"/>
  </r>
  <r>
    <d v="2022-12-16T00:00:00"/>
    <x v="1"/>
    <s v="CARBURANTE"/>
    <m/>
    <n v="50.01"/>
    <n v="1172.4600000000003"/>
  </r>
  <r>
    <d v="2022-12-21T00:00:00"/>
    <x v="1"/>
    <s v="CONTO COMUNE"/>
    <m/>
    <n v="500.5"/>
    <n v="671.96000000000026"/>
  </r>
  <r>
    <d v="2022-12-22T00:00:00"/>
    <x v="1"/>
    <s v="STIPENDIO"/>
    <n v="1692"/>
    <m/>
    <n v="2363.96"/>
  </r>
  <r>
    <d v="2022-12-23T00:00:00"/>
    <x v="1"/>
    <s v="3° RATA TARI"/>
    <m/>
    <n v="109"/>
    <n v="2254.96"/>
  </r>
  <r>
    <d v="2022-12-31T00:00:00"/>
    <x v="1"/>
    <s v="RATA PRESTITO"/>
    <m/>
    <n v="307"/>
    <n v="1947.96"/>
  </r>
  <r>
    <d v="2023-01-08T00:00:00"/>
    <x v="2"/>
    <s v="TIM"/>
    <m/>
    <n v="44.87"/>
    <n v="1903.0900000000001"/>
  </r>
  <r>
    <d v="2023-01-10T00:00:00"/>
    <x v="2"/>
    <s v="STIPENDIO"/>
    <n v="1700"/>
    <m/>
    <n v="3603.09"/>
  </r>
  <r>
    <d v="2023-01-11T00:00:00"/>
    <x v="2"/>
    <s v="CONTO COMUNE"/>
    <m/>
    <n v="500.5"/>
    <n v="3102.59"/>
  </r>
  <r>
    <d v="2023-01-16T00:00:00"/>
    <x v="2"/>
    <s v="JUST EAT"/>
    <m/>
    <n v="56"/>
    <n v="3046.59"/>
  </r>
  <r>
    <d v="2023-01-16T00:00:00"/>
    <x v="2"/>
    <s v="2° RATA GOMME"/>
    <m/>
    <n v="87.94"/>
    <n v="2958.65"/>
  </r>
  <r>
    <d v="2023-01-16T00:00:00"/>
    <x v="2"/>
    <s v="ORZO"/>
    <m/>
    <n v="15.5"/>
    <n v="2943.15"/>
  </r>
  <r>
    <d v="2023-01-16T00:00:00"/>
    <x v="2"/>
    <s v="POZZACCI"/>
    <m/>
    <n v="41"/>
    <n v="2902.15"/>
  </r>
  <r>
    <d v="2023-01-16T00:00:00"/>
    <x v="2"/>
    <s v="IKEA"/>
    <m/>
    <n v="197.95"/>
    <n v="2704.2000000000003"/>
  </r>
  <r>
    <d v="2023-01-31T00:00:00"/>
    <x v="2"/>
    <s v="RATA PRESTITO"/>
    <m/>
    <n v="307"/>
    <n v="2397.2000000000003"/>
  </r>
  <r>
    <d v="2023-02-10T00:00:00"/>
    <x v="3"/>
    <s v="STIPENDIO"/>
    <n v="1700"/>
    <m/>
    <n v="4097.2000000000007"/>
  </r>
  <r>
    <d v="2023-02-11T00:00:00"/>
    <x v="3"/>
    <s v="CONTO COMUNE"/>
    <m/>
    <n v="500.5"/>
    <n v="3596.7000000000007"/>
  </r>
  <r>
    <d v="2023-02-16T00:00:00"/>
    <x v="3"/>
    <s v="3° RATA GOMME"/>
    <m/>
    <n v="87.93"/>
    <n v="3508.7700000000009"/>
  </r>
  <r>
    <d v="2023-02-28T00:00:00"/>
    <x v="3"/>
    <s v="RATA PRESTITO"/>
    <m/>
    <n v="307"/>
    <n v="3201.77000000000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d v="2023-01-01T00:00:00"/>
    <x v="0"/>
    <x v="0"/>
    <n v="1312.45"/>
    <m/>
    <n v="1312.45"/>
  </r>
  <r>
    <d v="2023-01-02T00:00:00"/>
    <x v="0"/>
    <x v="1"/>
    <m/>
    <n v="102"/>
    <n v="1210.45"/>
  </r>
  <r>
    <d v="2023-01-02T00:00:00"/>
    <x v="0"/>
    <x v="2"/>
    <m/>
    <n v="60.03"/>
    <n v="1150.42"/>
  </r>
  <r>
    <d v="2023-01-02T00:00:00"/>
    <x v="0"/>
    <x v="3"/>
    <m/>
    <n v="50.1"/>
    <n v="1100.3200000000002"/>
  </r>
  <r>
    <d v="2023-01-02T00:00:00"/>
    <x v="0"/>
    <x v="4"/>
    <m/>
    <n v="8.4"/>
    <n v="1091.92"/>
  </r>
  <r>
    <d v="2023-01-04T00:00:00"/>
    <x v="0"/>
    <x v="5"/>
    <m/>
    <n v="2.7"/>
    <n v="1089.22"/>
  </r>
  <r>
    <d v="2023-01-09T00:00:00"/>
    <x v="0"/>
    <x v="6"/>
    <m/>
    <n v="71.8"/>
    <n v="1017.4200000000001"/>
  </r>
  <r>
    <d v="2023-01-09T00:00:00"/>
    <x v="0"/>
    <x v="7"/>
    <m/>
    <n v="46"/>
    <n v="971.42000000000007"/>
  </r>
  <r>
    <d v="2023-01-09T00:00:00"/>
    <x v="0"/>
    <x v="8"/>
    <m/>
    <n v="44.87"/>
    <n v="926.55000000000007"/>
  </r>
  <r>
    <d v="2023-01-09T00:00:00"/>
    <x v="0"/>
    <x v="2"/>
    <m/>
    <n v="29.11"/>
    <n v="897.44"/>
  </r>
  <r>
    <d v="2023-01-10T00:00:00"/>
    <x v="0"/>
    <x v="9"/>
    <n v="1853"/>
    <m/>
    <n v="2750.44"/>
  </r>
  <r>
    <d v="2023-01-11T00:00:00"/>
    <x v="0"/>
    <x v="10"/>
    <m/>
    <n v="500.5"/>
    <n v="2249.94"/>
  </r>
  <r>
    <d v="2023-01-12T00:00:00"/>
    <x v="0"/>
    <x v="5"/>
    <m/>
    <n v="19.28"/>
    <n v="2230.66"/>
  </r>
  <r>
    <d v="2023-01-16T00:00:00"/>
    <x v="0"/>
    <x v="5"/>
    <m/>
    <n v="2"/>
    <n v="2228.66"/>
  </r>
  <r>
    <d v="2023-01-16T00:00:00"/>
    <x v="0"/>
    <x v="11"/>
    <m/>
    <n v="87.94"/>
    <n v="2140.7199999999998"/>
  </r>
  <r>
    <d v="2023-01-16T00:00:00"/>
    <x v="0"/>
    <x v="12"/>
    <m/>
    <n v="15.5"/>
    <n v="2125.2199999999998"/>
  </r>
  <r>
    <d v="2023-01-16T00:00:00"/>
    <x v="0"/>
    <x v="7"/>
    <m/>
    <n v="41"/>
    <n v="2084.2199999999998"/>
  </r>
  <r>
    <d v="2023-01-16T00:00:00"/>
    <x v="0"/>
    <x v="13"/>
    <m/>
    <n v="49.9"/>
    <n v="2034.3199999999997"/>
  </r>
  <r>
    <d v="2023-01-16T00:00:00"/>
    <x v="0"/>
    <x v="14"/>
    <m/>
    <n v="3.65"/>
    <n v="2030.6699999999996"/>
  </r>
  <r>
    <d v="2023-01-16T00:00:00"/>
    <x v="0"/>
    <x v="15"/>
    <m/>
    <n v="197.95"/>
    <n v="1832.7199999999996"/>
  </r>
  <r>
    <d v="2023-01-16T00:00:00"/>
    <x v="0"/>
    <x v="13"/>
    <m/>
    <n v="24.28"/>
    <n v="1808.4399999999996"/>
  </r>
  <r>
    <d v="2023-01-16T00:00:00"/>
    <x v="0"/>
    <x v="16"/>
    <m/>
    <n v="56"/>
    <n v="1752.4399999999996"/>
  </r>
  <r>
    <d v="2023-01-17T00:00:00"/>
    <x v="0"/>
    <x v="2"/>
    <m/>
    <n v="35"/>
    <n v="1717.4399999999996"/>
  </r>
  <r>
    <d v="2023-01-17T00:00:00"/>
    <x v="0"/>
    <x v="2"/>
    <m/>
    <n v="28.81"/>
    <n v="1688.6299999999997"/>
  </r>
  <r>
    <d v="2023-01-24T00:00:00"/>
    <x v="0"/>
    <x v="10"/>
    <m/>
    <n v="500.5"/>
    <n v="1188.1299999999997"/>
  </r>
  <r>
    <d v="2023-01-24T00:00:00"/>
    <x v="0"/>
    <x v="2"/>
    <m/>
    <n v="49.66"/>
    <n v="1138.4699999999996"/>
  </r>
  <r>
    <d v="2023-01-31T00:00:00"/>
    <x v="0"/>
    <x v="17"/>
    <m/>
    <n v="307.01"/>
    <n v="831.45999999999958"/>
  </r>
  <r>
    <d v="2023-01-31T00:00:00"/>
    <x v="0"/>
    <x v="10"/>
    <m/>
    <n v="500.5"/>
    <n v="330.95999999999958"/>
  </r>
  <r>
    <d v="2023-02-03T00:00:00"/>
    <x v="1"/>
    <x v="2"/>
    <m/>
    <n v="35.78"/>
    <n v="295.17999999999961"/>
  </r>
  <r>
    <d v="2023-02-07T00:00:00"/>
    <x v="1"/>
    <x v="2"/>
    <m/>
    <n v="30.21"/>
    <n v="264.96999999999963"/>
  </r>
  <r>
    <d v="2023-02-08T00:00:00"/>
    <x v="1"/>
    <x v="8"/>
    <m/>
    <n v="44.87"/>
    <n v="220.09999999999962"/>
  </r>
  <r>
    <d v="2023-02-08T00:00:00"/>
    <x v="1"/>
    <x v="18"/>
    <m/>
    <n v="6.2"/>
    <n v="213.89999999999964"/>
  </r>
  <r>
    <d v="2023-02-08T00:00:00"/>
    <x v="1"/>
    <x v="19"/>
    <m/>
    <n v="26"/>
    <n v="187.89999999999964"/>
  </r>
  <r>
    <d v="2023-02-10T00:00:00"/>
    <x v="1"/>
    <x v="9"/>
    <n v="1120"/>
    <m/>
    <n v="1307.8999999999996"/>
  </r>
  <r>
    <d v="2023-02-13T00:00:00"/>
    <x v="1"/>
    <x v="10"/>
    <m/>
    <n v="500.5"/>
    <n v="807.39999999999964"/>
  </r>
  <r>
    <d v="2023-02-16T00:00:00"/>
    <x v="1"/>
    <x v="20"/>
    <m/>
    <n v="2"/>
    <n v="805.39999999999964"/>
  </r>
  <r>
    <d v="2023-02-16T00:00:00"/>
    <x v="1"/>
    <x v="14"/>
    <m/>
    <n v="3.65"/>
    <n v="801.74999999999966"/>
  </r>
  <r>
    <d v="2023-02-16T00:00:00"/>
    <x v="1"/>
    <x v="21"/>
    <m/>
    <n v="87.93"/>
    <n v="713.81999999999971"/>
  </r>
  <r>
    <d v="2023-02-16T00:00:00"/>
    <x v="1"/>
    <x v="13"/>
    <m/>
    <n v="49.74"/>
    <n v="664.0799999999997"/>
  </r>
  <r>
    <d v="2023-02-16T00:00:00"/>
    <x v="1"/>
    <x v="13"/>
    <m/>
    <n v="12.99"/>
    <n v="651.08999999999969"/>
  </r>
  <r>
    <d v="2023-02-16T00:00:00"/>
    <x v="1"/>
    <x v="22"/>
    <m/>
    <n v="114.1"/>
    <n v="536.98999999999967"/>
  </r>
  <r>
    <d v="2023-02-16T00:00:00"/>
    <x v="1"/>
    <x v="23"/>
    <m/>
    <n v="71.989999999999995"/>
    <n v="464.99999999999966"/>
  </r>
  <r>
    <d v="2023-02-18T00:00:00"/>
    <x v="1"/>
    <x v="1"/>
    <m/>
    <n v="50"/>
    <n v="414.99999999999966"/>
  </r>
  <r>
    <d v="2023-02-28T00:00:00"/>
    <x v="1"/>
    <x v="17"/>
    <m/>
    <n v="307.01"/>
    <n v="107.98999999999967"/>
  </r>
  <r>
    <d v="2023-03-09T00:00:00"/>
    <x v="2"/>
    <x v="8"/>
    <m/>
    <n v="44.87"/>
    <n v="63.119999999999671"/>
  </r>
  <r>
    <d v="2023-03-15T00:00:00"/>
    <x v="2"/>
    <x v="9"/>
    <n v="2010"/>
    <m/>
    <n v="2073.12"/>
  </r>
  <r>
    <d v="2023-03-15T00:00:00"/>
    <x v="2"/>
    <x v="10"/>
    <m/>
    <n v="1010"/>
    <n v="1063.1199999999999"/>
  </r>
  <r>
    <d v="2023-03-15T00:00:00"/>
    <x v="2"/>
    <x v="5"/>
    <m/>
    <n v="2"/>
    <n v="1061.1199999999999"/>
  </r>
  <r>
    <d v="2023-03-15T00:00:00"/>
    <x v="2"/>
    <x v="14"/>
    <m/>
    <n v="3.65"/>
    <n v="1057.4699999999998"/>
  </r>
  <r>
    <d v="2023-03-15T00:00:00"/>
    <x v="2"/>
    <x v="24"/>
    <m/>
    <n v="57.2"/>
    <n v="1000.2699999999998"/>
  </r>
  <r>
    <d v="2023-03-15T00:00:00"/>
    <x v="2"/>
    <x v="13"/>
    <m/>
    <n v="82.38"/>
    <n v="917.88999999999976"/>
  </r>
  <r>
    <d v="2023-03-15T00:00:00"/>
    <x v="2"/>
    <x v="25"/>
    <m/>
    <n v="40.799999999999997"/>
    <n v="877.0899999999998"/>
  </r>
  <r>
    <d v="2023-03-15T00:00:00"/>
    <x v="2"/>
    <x v="2"/>
    <m/>
    <n v="30.33"/>
    <n v="846.75999999999976"/>
  </r>
  <r>
    <d v="2023-03-15T00:00:00"/>
    <x v="2"/>
    <x v="24"/>
    <m/>
    <n v="14.25"/>
    <n v="832.50999999999976"/>
  </r>
  <r>
    <d v="2023-03-15T00:00:00"/>
    <x v="2"/>
    <x v="2"/>
    <m/>
    <n v="22.57"/>
    <n v="809.93999999999971"/>
  </r>
  <r>
    <d v="2023-03-21T00:00:00"/>
    <x v="2"/>
    <x v="26"/>
    <n v="500"/>
    <m/>
    <n v="1309.9399999999996"/>
  </r>
  <r>
    <d v="2023-03-27T00:00:00"/>
    <x v="2"/>
    <x v="1"/>
    <m/>
    <n v="100"/>
    <n v="1209.9399999999996"/>
  </r>
  <r>
    <d v="2023-03-31T00:00:00"/>
    <x v="2"/>
    <x v="17"/>
    <m/>
    <n v="307.01"/>
    <n v="902.92999999999961"/>
  </r>
  <r>
    <d v="2023-04-03T00:00:00"/>
    <x v="3"/>
    <x v="10"/>
    <m/>
    <n v="500.5"/>
    <n v="402.42999999999961"/>
  </r>
  <r>
    <d v="2023-04-04T00:00:00"/>
    <x v="3"/>
    <x v="5"/>
    <m/>
    <n v="2.7"/>
    <n v="399.72999999999962"/>
  </r>
  <r>
    <d v="2023-04-07T00:00:00"/>
    <x v="3"/>
    <x v="5"/>
    <m/>
    <n v="16"/>
    <n v="383.72999999999962"/>
  </r>
  <r>
    <d v="2023-04-07T00:00:00"/>
    <x v="3"/>
    <x v="2"/>
    <m/>
    <n v="20.04"/>
    <n v="363.6899999999996"/>
  </r>
  <r>
    <d v="2023-04-11T00:00:00"/>
    <x v="3"/>
    <x v="8"/>
    <m/>
    <n v="44.87"/>
    <n v="318.8199999999996"/>
  </r>
  <r>
    <d v="2023-04-13T00:00:00"/>
    <x v="3"/>
    <x v="27"/>
    <n v="6803"/>
    <m/>
    <n v="7121.82"/>
  </r>
  <r>
    <d v="2023-04-13T00:00:00"/>
    <x v="3"/>
    <x v="10"/>
    <m/>
    <n v="1000.5"/>
    <n v="6121.32"/>
  </r>
  <r>
    <d v="2023-04-13T00:00:00"/>
    <x v="3"/>
    <x v="28"/>
    <m/>
    <n v="500.5"/>
    <n v="5620.82"/>
  </r>
  <r>
    <d v="2023-04-13T00:00:00"/>
    <x v="3"/>
    <x v="29"/>
    <m/>
    <n v="262.17"/>
    <n v="5358.65"/>
  </r>
  <r>
    <d v="2023-04-16T00:00:00"/>
    <x v="3"/>
    <x v="5"/>
    <m/>
    <n v="2"/>
    <n v="5356.65"/>
  </r>
  <r>
    <d v="2023-04-16T00:00:00"/>
    <x v="3"/>
    <x v="30"/>
    <m/>
    <n v="74"/>
    <n v="5282.65"/>
  </r>
  <r>
    <d v="2023-04-16T00:00:00"/>
    <x v="3"/>
    <x v="2"/>
    <m/>
    <n v="29.6"/>
    <n v="5253.0499999999993"/>
  </r>
  <r>
    <d v="2023-04-16T00:00:00"/>
    <x v="3"/>
    <x v="14"/>
    <m/>
    <n v="3.65"/>
    <n v="5249.4"/>
  </r>
  <r>
    <d v="2023-04-16T00:00:00"/>
    <x v="3"/>
    <x v="13"/>
    <m/>
    <n v="19.989999999999998"/>
    <n v="5229.41"/>
  </r>
  <r>
    <d v="2023-04-16T00:00:00"/>
    <x v="3"/>
    <x v="2"/>
    <m/>
    <n v="29.9"/>
    <n v="5199.51"/>
  </r>
  <r>
    <d v="2023-04-16T00:00:00"/>
    <x v="3"/>
    <x v="31"/>
    <m/>
    <n v="105"/>
    <n v="5094.51"/>
  </r>
  <r>
    <d v="2023-04-16T00:00:00"/>
    <x v="3"/>
    <x v="32"/>
    <m/>
    <n v="15"/>
    <n v="5079.51"/>
  </r>
  <r>
    <d v="2023-04-16T00:00:00"/>
    <x v="3"/>
    <x v="33"/>
    <m/>
    <n v="9"/>
    <n v="5070.51"/>
  </r>
  <r>
    <d v="2023-04-16T00:00:00"/>
    <x v="3"/>
    <x v="2"/>
    <m/>
    <n v="27"/>
    <n v="5043.51"/>
  </r>
  <r>
    <d v="2023-04-16T00:00:00"/>
    <x v="3"/>
    <x v="2"/>
    <m/>
    <n v="13.73"/>
    <n v="5029.7800000000007"/>
  </r>
  <r>
    <d v="2023-04-16T00:00:00"/>
    <x v="3"/>
    <x v="34"/>
    <m/>
    <n v="28"/>
    <n v="5001.7800000000007"/>
  </r>
  <r>
    <d v="2023-04-16T00:00:00"/>
    <x v="3"/>
    <x v="13"/>
    <m/>
    <n v="15.5"/>
    <n v="4986.2800000000007"/>
  </r>
  <r>
    <d v="2023-04-16T00:00:00"/>
    <x v="3"/>
    <x v="2"/>
    <m/>
    <n v="29.65"/>
    <n v="4956.630000000001"/>
  </r>
  <r>
    <d v="2023-04-16T00:00:00"/>
    <x v="3"/>
    <x v="35"/>
    <m/>
    <n v="487"/>
    <n v="4469.630000000001"/>
  </r>
  <r>
    <d v="2023-04-16T00:00:00"/>
    <x v="3"/>
    <x v="1"/>
    <m/>
    <n v="260"/>
    <n v="4209.630000000001"/>
  </r>
  <r>
    <d v="2023-04-17T00:00:00"/>
    <x v="3"/>
    <x v="2"/>
    <m/>
    <n v="28.8"/>
    <n v="4180.8300000000008"/>
  </r>
  <r>
    <d v="2023-04-17T00:00:00"/>
    <x v="3"/>
    <x v="2"/>
    <m/>
    <n v="31.36"/>
    <n v="4149.4700000000012"/>
  </r>
  <r>
    <d v="2023-04-18T00:00:00"/>
    <x v="3"/>
    <x v="1"/>
    <m/>
    <n v="100"/>
    <n v="4049.4700000000012"/>
  </r>
  <r>
    <d v="2023-04-24T00:00:00"/>
    <x v="3"/>
    <x v="2"/>
    <m/>
    <n v="27.81"/>
    <n v="4021.6600000000012"/>
  </r>
  <r>
    <d v="2023-04-27T00:00:00"/>
    <x v="3"/>
    <x v="2"/>
    <m/>
    <n v="37.89"/>
    <n v="3983.7700000000013"/>
  </r>
  <r>
    <d v="2023-04-30T00:00:00"/>
    <x v="3"/>
    <x v="17"/>
    <m/>
    <n v="307.01"/>
    <n v="3676.7600000000011"/>
  </r>
  <r>
    <d v="2023-05-02T00:00:00"/>
    <x v="4"/>
    <x v="10"/>
    <m/>
    <n v="1000.5"/>
    <n v="2676.2600000000011"/>
  </r>
  <r>
    <d v="2023-05-04T00:00:00"/>
    <x v="4"/>
    <x v="36"/>
    <m/>
    <n v="65"/>
    <n v="2611.2600000000011"/>
  </r>
  <r>
    <d v="2023-05-05T00:00:00"/>
    <x v="4"/>
    <x v="2"/>
    <m/>
    <n v="28.9"/>
    <n v="2582.360000000001"/>
  </r>
  <r>
    <d v="2023-05-08T00:00:00"/>
    <x v="4"/>
    <x v="1"/>
    <m/>
    <n v="100"/>
    <n v="2482.360000000001"/>
  </r>
  <r>
    <d v="2023-05-08T00:00:00"/>
    <x v="4"/>
    <x v="8"/>
    <m/>
    <n v="51.87"/>
    <n v="2430.4900000000011"/>
  </r>
  <r>
    <d v="2023-05-11T00:00:00"/>
    <x v="4"/>
    <x v="9"/>
    <n v="1893"/>
    <m/>
    <n v="4323.4900000000016"/>
  </r>
  <r>
    <d v="2023-05-16T00:00:00"/>
    <x v="4"/>
    <x v="14"/>
    <m/>
    <n v="3.65"/>
    <n v="4319.840000000002"/>
  </r>
  <r>
    <d v="2023-05-16T00:00:00"/>
    <x v="4"/>
    <x v="1"/>
    <m/>
    <n v="260"/>
    <n v="4059.840000000002"/>
  </r>
  <r>
    <d v="2023-05-16T00:00:00"/>
    <x v="4"/>
    <x v="13"/>
    <m/>
    <n v="27.49"/>
    <n v="4032.3500000000022"/>
  </r>
  <r>
    <d v="2023-05-16T00:00:00"/>
    <x v="4"/>
    <x v="13"/>
    <m/>
    <n v="29.99"/>
    <n v="4002.3600000000024"/>
  </r>
  <r>
    <d v="2023-05-16T00:00:00"/>
    <x v="4"/>
    <x v="2"/>
    <m/>
    <n v="30.31"/>
    <n v="3972.0500000000025"/>
  </r>
  <r>
    <d v="2023-05-16T00:00:00"/>
    <x v="4"/>
    <x v="37"/>
    <m/>
    <n v="13"/>
    <n v="3959.0500000000025"/>
  </r>
  <r>
    <d v="2023-05-16T00:00:00"/>
    <x v="4"/>
    <x v="20"/>
    <m/>
    <n v="261.99"/>
    <n v="3697.0600000000022"/>
  </r>
  <r>
    <d v="2023-05-16T00:00:00"/>
    <x v="4"/>
    <x v="38"/>
    <m/>
    <n v="363.89"/>
    <n v="3333.1700000000023"/>
  </r>
  <r>
    <d v="2023-05-16T00:00:00"/>
    <x v="4"/>
    <x v="39"/>
    <m/>
    <n v="76.760000000000005"/>
    <n v="3256.4100000000021"/>
  </r>
  <r>
    <d v="2023-05-16T00:00:00"/>
    <x v="4"/>
    <x v="40"/>
    <m/>
    <n v="19.989999999999998"/>
    <n v="3236.4200000000023"/>
  </r>
  <r>
    <d v="2023-05-16T00:00:00"/>
    <x v="4"/>
    <x v="41"/>
    <m/>
    <n v="124"/>
    <n v="3112.4200000000023"/>
  </r>
  <r>
    <d v="2023-05-16T00:00:00"/>
    <x v="4"/>
    <x v="13"/>
    <m/>
    <n v="49.64"/>
    <n v="3062.7800000000025"/>
  </r>
  <r>
    <d v="2023-05-16T00:00:00"/>
    <x v="4"/>
    <x v="13"/>
    <m/>
    <n v="26.99"/>
    <n v="3035.7900000000027"/>
  </r>
  <r>
    <d v="2023-05-16T00:00:00"/>
    <x v="4"/>
    <x v="42"/>
    <m/>
    <n v="63"/>
    <n v="2972.7900000000027"/>
  </r>
  <r>
    <d v="2023-05-16T00:00:00"/>
    <x v="4"/>
    <x v="13"/>
    <m/>
    <n v="13.99"/>
    <n v="2958.8000000000029"/>
  </r>
  <r>
    <d v="2023-05-16T00:00:00"/>
    <x v="4"/>
    <x v="5"/>
    <m/>
    <n v="2"/>
    <n v="2956.8000000000029"/>
  </r>
  <r>
    <d v="2023-05-16T00:00:00"/>
    <x v="4"/>
    <x v="1"/>
    <m/>
    <n v="150"/>
    <n v="2806.8000000000029"/>
  </r>
  <r>
    <d v="2023-05-22T00:00:00"/>
    <x v="4"/>
    <x v="2"/>
    <m/>
    <n v="65"/>
    <n v="2741.8000000000029"/>
  </r>
  <r>
    <d v="2023-05-22T00:00:00"/>
    <x v="4"/>
    <x v="43"/>
    <m/>
    <n v="35.89"/>
    <n v="2705.910000000003"/>
  </r>
  <r>
    <d v="2023-05-26T00:00:00"/>
    <x v="4"/>
    <x v="10"/>
    <m/>
    <n v="1000.5"/>
    <n v="1705.410000000003"/>
  </r>
  <r>
    <d v="2023-05-29T00:00:00"/>
    <x v="4"/>
    <x v="44"/>
    <n v="25.98"/>
    <n v="0"/>
    <n v="1731.3900000000031"/>
  </r>
  <r>
    <d v="2023-05-31T00:00:00"/>
    <x v="4"/>
    <x v="17"/>
    <m/>
    <n v="307.01"/>
    <n v="1424.3800000000031"/>
  </r>
  <r>
    <d v="2023-06-09T00:00:00"/>
    <x v="5"/>
    <x v="8"/>
    <m/>
    <n v="44.87"/>
    <n v="1379.5100000000032"/>
  </r>
  <r>
    <d v="2023-06-09T00:00:00"/>
    <x v="5"/>
    <x v="1"/>
    <m/>
    <n v="150"/>
    <n v="1229.5100000000032"/>
  </r>
  <r>
    <d v="2023-06-13T00:00:00"/>
    <x v="5"/>
    <x v="9"/>
    <n v="1728"/>
    <m/>
    <n v="2957.5100000000029"/>
  </r>
  <r>
    <d v="2023-06-16T00:00:00"/>
    <x v="5"/>
    <x v="5"/>
    <m/>
    <n v="2"/>
    <n v="2955.5100000000029"/>
  </r>
  <r>
    <d v="2023-06-16T00:00:00"/>
    <x v="5"/>
    <x v="45"/>
    <m/>
    <n v="12"/>
    <n v="2943.5100000000029"/>
  </r>
  <r>
    <d v="2023-06-16T00:00:00"/>
    <x v="5"/>
    <x v="14"/>
    <m/>
    <n v="3.65"/>
    <n v="2939.8600000000029"/>
  </r>
  <r>
    <d v="2023-06-16T00:00:00"/>
    <x v="5"/>
    <x v="46"/>
    <m/>
    <n v="97.32"/>
    <n v="2842.5400000000027"/>
  </r>
  <r>
    <d v="2023-06-16T00:00:00"/>
    <x v="5"/>
    <x v="47"/>
    <m/>
    <n v="177.25"/>
    <n v="2665.2900000000027"/>
  </r>
  <r>
    <d v="2023-06-16T00:00:00"/>
    <x v="5"/>
    <x v="2"/>
    <m/>
    <n v="26.45"/>
    <n v="2638.8400000000029"/>
  </r>
  <r>
    <d v="2023-06-16T00:00:00"/>
    <x v="5"/>
    <x v="13"/>
    <m/>
    <n v="24.4"/>
    <n v="2614.4400000000028"/>
  </r>
  <r>
    <d v="2023-06-16T00:00:00"/>
    <x v="5"/>
    <x v="2"/>
    <m/>
    <n v="27.05"/>
    <n v="2587.3900000000026"/>
  </r>
  <r>
    <d v="2023-06-16T00:00:00"/>
    <x v="5"/>
    <x v="2"/>
    <m/>
    <n v="27.1"/>
    <n v="2560.2900000000027"/>
  </r>
  <r>
    <d v="2023-06-28T00:00:00"/>
    <x v="5"/>
    <x v="10"/>
    <m/>
    <n v="1000.5"/>
    <n v="1559.7900000000027"/>
  </r>
  <r>
    <d v="2023-06-30T00:00:00"/>
    <x v="5"/>
    <x v="17"/>
    <m/>
    <n v="307.01"/>
    <n v="1252.7800000000027"/>
  </r>
  <r>
    <d v="2023-07-04T00:00:00"/>
    <x v="6"/>
    <x v="48"/>
    <m/>
    <n v="2.7"/>
    <n v="1250.0800000000027"/>
  </r>
  <r>
    <d v="2023-07-04T00:00:00"/>
    <x v="6"/>
    <x v="2"/>
    <m/>
    <n v="50.01"/>
    <n v="1200.0700000000027"/>
  </r>
  <r>
    <d v="2023-07-09T00:00:00"/>
    <x v="6"/>
    <x v="48"/>
    <m/>
    <n v="24"/>
    <n v="1176.0700000000027"/>
  </r>
  <r>
    <d v="2023-07-09T00:00:00"/>
    <x v="6"/>
    <x v="8"/>
    <m/>
    <n v="44.87"/>
    <n v="1131.2000000000028"/>
  </r>
  <r>
    <d v="2023-07-11T00:00:00"/>
    <x v="6"/>
    <x v="9"/>
    <n v="2795"/>
    <m/>
    <n v="3926.2000000000025"/>
  </r>
  <r>
    <d v="2023-07-12T00:00:00"/>
    <x v="6"/>
    <x v="10"/>
    <m/>
    <n v="1074.5"/>
    <n v="2851.7000000000025"/>
  </r>
  <r>
    <d v="2023-07-16T00:00:00"/>
    <x v="6"/>
    <x v="13"/>
    <m/>
    <n v="53.94"/>
    <n v="2797.7600000000025"/>
  </r>
  <r>
    <d v="2023-07-16T00:00:00"/>
    <x v="6"/>
    <x v="2"/>
    <m/>
    <n v="26.01"/>
    <n v="2771.7500000000023"/>
  </r>
  <r>
    <d v="2023-07-16T00:00:00"/>
    <x v="6"/>
    <x v="14"/>
    <m/>
    <n v="3.65"/>
    <n v="2768.1000000000022"/>
  </r>
  <r>
    <d v="2023-07-16T00:00:00"/>
    <x v="6"/>
    <x v="40"/>
    <m/>
    <n v="99.99"/>
    <n v="2668.1100000000024"/>
  </r>
  <r>
    <d v="2023-07-16T00:00:00"/>
    <x v="6"/>
    <x v="2"/>
    <m/>
    <n v="27.8"/>
    <n v="2640.3100000000022"/>
  </r>
  <r>
    <d v="2023-07-16T00:00:00"/>
    <x v="6"/>
    <x v="38"/>
    <m/>
    <n v="182.47"/>
    <n v="2457.8400000000024"/>
  </r>
  <r>
    <d v="2023-07-16T00:00:00"/>
    <x v="6"/>
    <x v="2"/>
    <m/>
    <n v="27.9"/>
    <n v="2429.9400000000023"/>
  </r>
  <r>
    <d v="2023-07-16T00:00:00"/>
    <x v="6"/>
    <x v="2"/>
    <m/>
    <n v="27.4"/>
    <n v="2402.5400000000022"/>
  </r>
  <r>
    <d v="2023-07-16T00:00:00"/>
    <x v="6"/>
    <x v="13"/>
    <m/>
    <n v="41.77"/>
    <n v="2360.7700000000023"/>
  </r>
  <r>
    <d v="2023-07-16T00:00:00"/>
    <x v="6"/>
    <x v="38"/>
    <m/>
    <n v="13"/>
    <n v="2347.7700000000023"/>
  </r>
  <r>
    <d v="2023-07-16T00:00:00"/>
    <x v="6"/>
    <x v="2"/>
    <m/>
    <n v="24.9"/>
    <n v="2322.8700000000022"/>
  </r>
  <r>
    <d v="2023-07-16T00:00:00"/>
    <x v="6"/>
    <x v="49"/>
    <m/>
    <n v="40"/>
    <n v="2282.8700000000022"/>
  </r>
  <r>
    <d v="2023-07-16T00:00:00"/>
    <x v="6"/>
    <x v="50"/>
    <m/>
    <n v="133.5"/>
    <n v="2149.3700000000022"/>
  </r>
  <r>
    <d v="2023-07-16T00:00:00"/>
    <x v="6"/>
    <x v="51"/>
    <m/>
    <n v="30.99"/>
    <n v="2118.3800000000024"/>
  </r>
  <r>
    <d v="2023-07-16T00:00:00"/>
    <x v="6"/>
    <x v="2"/>
    <m/>
    <n v="28.4"/>
    <n v="2089.9800000000023"/>
  </r>
  <r>
    <d v="2023-07-16T00:00:00"/>
    <x v="6"/>
    <x v="5"/>
    <m/>
    <n v="2"/>
    <n v="2087.9800000000023"/>
  </r>
  <r>
    <d v="2023-07-16T00:00:00"/>
    <x v="6"/>
    <x v="1"/>
    <m/>
    <n v="100"/>
    <n v="1987.9800000000023"/>
  </r>
  <r>
    <d v="2023-07-24T00:00:00"/>
    <x v="6"/>
    <x v="2"/>
    <m/>
    <n v="65.010000000000005"/>
    <n v="1922.9700000000023"/>
  </r>
  <r>
    <d v="2023-07-28T00:00:00"/>
    <x v="6"/>
    <x v="2"/>
    <m/>
    <n v="41.01"/>
    <n v="1881.9600000000023"/>
  </r>
  <r>
    <d v="2023-07-31T00:00:00"/>
    <x v="6"/>
    <x v="17"/>
    <m/>
    <n v="307.01"/>
    <n v="1574.9500000000023"/>
  </r>
  <r>
    <d v="2023-07-31T00:00:00"/>
    <x v="6"/>
    <x v="1"/>
    <m/>
    <n v="100"/>
    <n v="1474.9500000000023"/>
  </r>
  <r>
    <d v="2023-08-01T00:00:00"/>
    <x v="7"/>
    <x v="10"/>
    <m/>
    <n v="1000.5"/>
    <n v="474.45000000000232"/>
  </r>
  <r>
    <d v="2023-08-04T00:00:00"/>
    <x v="7"/>
    <x v="9"/>
    <n v="1795"/>
    <m/>
    <n v="2269.4500000000025"/>
  </r>
  <r>
    <d v="2023-08-04T00:00:00"/>
    <x v="7"/>
    <x v="52"/>
    <m/>
    <n v="21.71"/>
    <n v="2247.7400000000025"/>
  </r>
  <r>
    <d v="2023-08-08T00:00:00"/>
    <x v="7"/>
    <x v="53"/>
    <m/>
    <n v="22"/>
    <n v="2225.7400000000025"/>
  </r>
  <r>
    <d v="2023-08-09T00:00:00"/>
    <x v="7"/>
    <x v="8"/>
    <m/>
    <n v="44.87"/>
    <n v="2180.8700000000026"/>
  </r>
  <r>
    <d v="2023-08-09T00:00:00"/>
    <x v="7"/>
    <x v="1"/>
    <m/>
    <n v="100"/>
    <n v="2080.8700000000026"/>
  </r>
  <r>
    <d v="2023-08-16T00:00:00"/>
    <x v="7"/>
    <x v="14"/>
    <m/>
    <n v="3.65"/>
    <n v="2077.2200000000025"/>
  </r>
  <r>
    <d v="2023-08-16T00:00:00"/>
    <x v="7"/>
    <x v="2"/>
    <m/>
    <n v="26.6"/>
    <n v="2050.6200000000026"/>
  </r>
  <r>
    <d v="2023-08-16T00:00:00"/>
    <x v="7"/>
    <x v="13"/>
    <m/>
    <n v="189.05"/>
    <n v="1861.5700000000027"/>
  </r>
  <r>
    <d v="2023-08-16T00:00:00"/>
    <x v="7"/>
    <x v="2"/>
    <m/>
    <n v="28.55"/>
    <n v="1833.0200000000027"/>
  </r>
  <r>
    <d v="2023-08-16T00:00:00"/>
    <x v="7"/>
    <x v="2"/>
    <m/>
    <n v="27.61"/>
    <n v="1805.4100000000028"/>
  </r>
  <r>
    <d v="2023-08-16T00:00:00"/>
    <x v="7"/>
    <x v="2"/>
    <m/>
    <n v="28.01"/>
    <n v="1777.4000000000028"/>
  </r>
  <r>
    <d v="2023-08-16T00:00:00"/>
    <x v="7"/>
    <x v="5"/>
    <m/>
    <n v="2"/>
    <n v="1775.4000000000028"/>
  </r>
  <r>
    <d v="2023-08-23T00:00:00"/>
    <x v="7"/>
    <x v="2"/>
    <m/>
    <n v="50"/>
    <n v="1725.4000000000028"/>
  </r>
  <r>
    <d v="2023-08-25T00:00:00"/>
    <x v="7"/>
    <x v="2"/>
    <m/>
    <n v="90"/>
    <n v="1635.4000000000028"/>
  </r>
  <r>
    <d v="2023-08-31T00:00:00"/>
    <x v="7"/>
    <x v="17"/>
    <m/>
    <n v="307.01"/>
    <n v="1328.3900000000028"/>
  </r>
  <r>
    <d v="2023-09-01T00:00:00"/>
    <x v="8"/>
    <x v="10"/>
    <m/>
    <n v="1000.5"/>
    <n v="327.89000000000283"/>
  </r>
  <r>
    <d v="2023-09-02T00:00:00"/>
    <x v="8"/>
    <x v="1"/>
    <m/>
    <n v="100"/>
    <n v="227.89000000000283"/>
  </r>
  <r>
    <d v="2023-09-09T00:00:00"/>
    <x v="8"/>
    <x v="8"/>
    <m/>
    <n v="44.87"/>
    <n v="183.02000000000282"/>
  </r>
  <r>
    <d v="2023-09-12T00:00:00"/>
    <x v="8"/>
    <x v="9"/>
    <n v="1794"/>
    <m/>
    <n v="1977.0200000000027"/>
  </r>
  <r>
    <d v="2023-09-16T00:00:00"/>
    <x v="8"/>
    <x v="2"/>
    <m/>
    <n v="28.46"/>
    <n v="1948.5600000000027"/>
  </r>
  <r>
    <d v="2023-09-16T00:00:00"/>
    <x v="8"/>
    <x v="14"/>
    <m/>
    <n v="3.65"/>
    <n v="1944.9100000000026"/>
  </r>
  <r>
    <d v="2023-09-16T00:00:00"/>
    <x v="8"/>
    <x v="53"/>
    <m/>
    <n v="20"/>
    <n v="1924.9100000000026"/>
  </r>
  <r>
    <d v="2023-09-16T00:00:00"/>
    <x v="8"/>
    <x v="54"/>
    <m/>
    <n v="45"/>
    <n v="1879.9100000000026"/>
  </r>
  <r>
    <d v="2023-09-16T00:00:00"/>
    <x v="8"/>
    <x v="55"/>
    <m/>
    <n v="12.6"/>
    <n v="1867.3100000000027"/>
  </r>
  <r>
    <d v="2023-09-16T00:00:00"/>
    <x v="8"/>
    <x v="13"/>
    <m/>
    <n v="49.64"/>
    <n v="1817.6700000000026"/>
  </r>
  <r>
    <d v="2023-09-16T00:00:00"/>
    <x v="8"/>
    <x v="22"/>
    <m/>
    <n v="47.2"/>
    <n v="1770.4700000000025"/>
  </r>
  <r>
    <d v="2023-09-16T00:00:00"/>
    <x v="8"/>
    <x v="56"/>
    <m/>
    <n v="55.6"/>
    <n v="1714.8700000000026"/>
  </r>
  <r>
    <d v="2023-09-16T00:00:00"/>
    <x v="8"/>
    <x v="2"/>
    <m/>
    <n v="26.14"/>
    <n v="1688.7300000000025"/>
  </r>
  <r>
    <d v="2023-09-16T00:00:00"/>
    <x v="8"/>
    <x v="13"/>
    <m/>
    <n v="0"/>
    <n v="1688.7300000000025"/>
  </r>
  <r>
    <d v="2023-09-16T00:00:00"/>
    <x v="8"/>
    <x v="57"/>
    <m/>
    <n v="15.5"/>
    <n v="1673.2300000000025"/>
  </r>
  <r>
    <d v="2023-09-16T00:00:00"/>
    <x v="8"/>
    <x v="13"/>
    <m/>
    <n v="29.98"/>
    <n v="1643.2500000000025"/>
  </r>
  <r>
    <d v="2023-09-16T00:00:00"/>
    <x v="8"/>
    <x v="13"/>
    <m/>
    <n v="39.380000000000003"/>
    <n v="1603.8700000000024"/>
  </r>
  <r>
    <d v="2023-09-16T00:00:00"/>
    <x v="8"/>
    <x v="58"/>
    <m/>
    <n v="110"/>
    <n v="1493.8700000000024"/>
  </r>
  <r>
    <d v="2023-09-16T00:00:00"/>
    <x v="8"/>
    <x v="13"/>
    <m/>
    <n v="43.73"/>
    <n v="1450.1400000000024"/>
  </r>
  <r>
    <d v="2023-09-16T00:00:00"/>
    <x v="8"/>
    <x v="2"/>
    <m/>
    <n v="25.45"/>
    <n v="1424.6900000000023"/>
  </r>
  <r>
    <d v="2023-09-16T00:00:00"/>
    <x v="8"/>
    <x v="5"/>
    <m/>
    <n v="8"/>
    <n v="1416.6900000000023"/>
  </r>
  <r>
    <d v="2023-09-26T00:00:00"/>
    <x v="8"/>
    <x v="59"/>
    <m/>
    <n v="109"/>
    <n v="1307.6900000000023"/>
  </r>
  <r>
    <d v="2023-09-27T00:00:00"/>
    <x v="8"/>
    <x v="60"/>
    <m/>
    <n v="500.5"/>
    <n v="807.19000000000233"/>
  </r>
  <r>
    <d v="2023-09-29T00:00:00"/>
    <x v="8"/>
    <x v="61"/>
    <m/>
    <n v="250"/>
    <n v="557.19000000000233"/>
  </r>
  <r>
    <d v="2023-09-30T00:00:00"/>
    <x v="8"/>
    <x v="17"/>
    <m/>
    <n v="307.01"/>
    <n v="250.18000000000234"/>
  </r>
  <r>
    <d v="2023-10-02T00:00:00"/>
    <x v="9"/>
    <x v="33"/>
    <m/>
    <n v="9.6"/>
    <n v="240.58000000000234"/>
  </r>
  <r>
    <d v="2023-10-04T00:00:00"/>
    <x v="9"/>
    <x v="5"/>
    <m/>
    <n v="2.7"/>
    <n v="237.88000000000235"/>
  </r>
  <r>
    <d v="2023-10-09T00:00:00"/>
    <x v="9"/>
    <x v="5"/>
    <m/>
    <n v="16"/>
    <n v="221.88000000000235"/>
  </r>
  <r>
    <d v="2023-10-09T00:00:00"/>
    <x v="9"/>
    <x v="33"/>
    <m/>
    <n v="7.2"/>
    <n v="214.68000000000237"/>
  </r>
  <r>
    <d v="2023-10-09T00:00:00"/>
    <x v="9"/>
    <x v="8"/>
    <m/>
    <n v="44.87"/>
    <n v="169.81000000000236"/>
  </r>
  <r>
    <d v="2023-10-12T00:00:00"/>
    <x v="9"/>
    <x v="9"/>
    <n v="1787"/>
    <m/>
    <n v="1956.8100000000024"/>
  </r>
  <r>
    <d v="2023-10-13T00:00:00"/>
    <x v="9"/>
    <x v="1"/>
    <m/>
    <n v="50"/>
    <n v="1906.8100000000024"/>
  </r>
  <r>
    <d v="2023-10-15T00:00:00"/>
    <x v="9"/>
    <x v="62"/>
    <m/>
    <n v="510"/>
    <n v="1396.8100000000024"/>
  </r>
  <r>
    <d v="2023-10-16T00:00:00"/>
    <x v="9"/>
    <x v="1"/>
    <m/>
    <n v="50"/>
    <n v="1346.8100000000024"/>
  </r>
  <r>
    <d v="2023-10-16T00:00:00"/>
    <x v="9"/>
    <x v="14"/>
    <m/>
    <n v="3.99"/>
    <n v="1342.8200000000024"/>
  </r>
  <r>
    <d v="2023-10-16T00:00:00"/>
    <x v="9"/>
    <x v="63"/>
    <m/>
    <n v="450.79"/>
    <n v="892.03000000000247"/>
  </r>
  <r>
    <d v="2023-10-16T00:00:00"/>
    <x v="9"/>
    <x v="2"/>
    <m/>
    <n v="27.4"/>
    <n v="864.6300000000025"/>
  </r>
  <r>
    <d v="2023-10-16T00:00:00"/>
    <x v="9"/>
    <x v="13"/>
    <m/>
    <n v="11.99"/>
    <n v="852.64000000000249"/>
  </r>
  <r>
    <d v="2023-10-16T00:00:00"/>
    <x v="9"/>
    <x v="64"/>
    <m/>
    <n v="9.9499999999999993"/>
    <n v="842.69000000000244"/>
  </r>
  <r>
    <d v="2023-10-16T00:00:00"/>
    <x v="9"/>
    <x v="2"/>
    <m/>
    <n v="27.3"/>
    <n v="815.39000000000249"/>
  </r>
  <r>
    <d v="2023-10-16T00:00:00"/>
    <x v="9"/>
    <x v="2"/>
    <m/>
    <n v="24.6"/>
    <n v="790.79000000000246"/>
  </r>
  <r>
    <d v="2023-10-16T00:00:00"/>
    <x v="9"/>
    <x v="2"/>
    <m/>
    <n v="25.1"/>
    <n v="765.69000000000244"/>
  </r>
  <r>
    <d v="2023-10-16T00:00:00"/>
    <x v="9"/>
    <x v="5"/>
    <m/>
    <n v="2"/>
    <n v="763.69000000000244"/>
  </r>
  <r>
    <d v="2023-10-19T00:00:00"/>
    <x v="9"/>
    <x v="2"/>
    <m/>
    <n v="30.04"/>
    <n v="733.65000000000248"/>
  </r>
  <r>
    <d v="2023-10-27T00:00:00"/>
    <x v="9"/>
    <x v="65"/>
    <m/>
    <n v="109"/>
    <n v="624.65000000000248"/>
  </r>
  <r>
    <d v="2023-10-27T00:00:00"/>
    <x v="9"/>
    <x v="1"/>
    <m/>
    <n v="150"/>
    <n v="474.65000000000248"/>
  </r>
  <r>
    <d v="2023-10-31T00:00:00"/>
    <x v="9"/>
    <x v="17"/>
    <m/>
    <n v="307.01"/>
    <n v="167.64000000000249"/>
  </r>
  <r>
    <d v="2023-11-09T00:00:00"/>
    <x v="10"/>
    <x v="8"/>
    <m/>
    <n v="44.87"/>
    <n v="122.77000000000248"/>
  </r>
  <r>
    <d v="2023-11-10T00:00:00"/>
    <x v="10"/>
    <x v="9"/>
    <n v="1791"/>
    <m/>
    <n v="1913.7700000000025"/>
  </r>
  <r>
    <d v="2023-11-13T00:00:00"/>
    <x v="10"/>
    <x v="29"/>
    <m/>
    <n v="262.17"/>
    <n v="1651.6000000000024"/>
  </r>
  <r>
    <d v="2023-11-13T00:00:00"/>
    <x v="10"/>
    <x v="10"/>
    <m/>
    <n v="500.5"/>
    <n v="1151.1000000000024"/>
  </r>
  <r>
    <d v="2023-11-16T00:00:00"/>
    <x v="10"/>
    <x v="66"/>
    <m/>
    <n v="102.32000000000001"/>
    <n v="1048.7800000000025"/>
  </r>
  <r>
    <d v="2023-11-16T00:00:00"/>
    <x v="10"/>
    <x v="14"/>
    <m/>
    <n v="3.99"/>
    <n v="1044.7900000000025"/>
  </r>
  <r>
    <d v="2023-11-16T00:00:00"/>
    <x v="10"/>
    <x v="2"/>
    <m/>
    <n v="26.85"/>
    <n v="1017.9400000000024"/>
  </r>
  <r>
    <d v="2023-11-16T00:00:00"/>
    <x v="10"/>
    <x v="33"/>
    <m/>
    <n v="20"/>
    <n v="997.94000000000244"/>
  </r>
  <r>
    <d v="2023-11-16T00:00:00"/>
    <x v="10"/>
    <x v="2"/>
    <m/>
    <n v="25.3"/>
    <n v="972.64000000000249"/>
  </r>
  <r>
    <d v="2023-11-16T00:00:00"/>
    <x v="10"/>
    <x v="1"/>
    <m/>
    <n v="209.6"/>
    <n v="763.04000000000246"/>
  </r>
  <r>
    <d v="2023-11-16T00:00:00"/>
    <x v="10"/>
    <x v="2"/>
    <m/>
    <n v="27.34"/>
    <n v="735.70000000000243"/>
  </r>
  <r>
    <d v="2023-11-16T00:00:00"/>
    <x v="10"/>
    <x v="13"/>
    <m/>
    <n v="46.93"/>
    <n v="688.77000000000248"/>
  </r>
  <r>
    <d v="2023-11-16T00:00:00"/>
    <x v="10"/>
    <x v="5"/>
    <m/>
    <n v="2"/>
    <n v="686.77000000000248"/>
  </r>
  <r>
    <d v="2023-11-16T00:00:00"/>
    <x v="10"/>
    <x v="1"/>
    <m/>
    <n v="50"/>
    <n v="636.77000000000248"/>
  </r>
  <r>
    <d v="2023-11-29T00:00:00"/>
    <x v="10"/>
    <x v="67"/>
    <m/>
    <n v="109"/>
    <n v="527.77000000000248"/>
  </r>
  <r>
    <d v="2023-11-30T00:00:00"/>
    <x v="10"/>
    <x v="17"/>
    <m/>
    <n v="307.01"/>
    <n v="220.76000000000249"/>
  </r>
  <r>
    <d v="2023-12-05T00:00:00"/>
    <x v="11"/>
    <x v="2"/>
    <m/>
    <n v="65"/>
    <n v="155.76000000000249"/>
  </r>
  <r>
    <d v="2023-12-09T00:00:00"/>
    <x v="11"/>
    <x v="8"/>
    <m/>
    <n v="44.87"/>
    <n v="110.89000000000249"/>
  </r>
  <r>
    <d v="2023-12-12T00:00:00"/>
    <x v="11"/>
    <x v="9"/>
    <n v="1925"/>
    <m/>
    <n v="2035.8900000000026"/>
  </r>
  <r>
    <d v="2023-12-12T00:00:00"/>
    <x v="11"/>
    <x v="10"/>
    <m/>
    <n v="1010"/>
    <n v="1025.8900000000026"/>
  </r>
  <r>
    <d v="2023-12-16T00:00:00"/>
    <x v="11"/>
    <x v="14"/>
    <m/>
    <n v="3.99"/>
    <n v="1021.9000000000026"/>
  </r>
  <r>
    <d v="2023-12-16T00:00:00"/>
    <x v="11"/>
    <x v="68"/>
    <m/>
    <n v="102.32000000000001"/>
    <n v="919.58000000000254"/>
  </r>
  <r>
    <d v="2023-12-16T00:00:00"/>
    <x v="11"/>
    <x v="2"/>
    <m/>
    <n v="27.2"/>
    <n v="892.3800000000025"/>
  </r>
  <r>
    <d v="2023-12-16T00:00:00"/>
    <x v="11"/>
    <x v="2"/>
    <m/>
    <n v="14.99"/>
    <n v="877.39000000000249"/>
  </r>
  <r>
    <d v="2023-12-16T00:00:00"/>
    <x v="11"/>
    <x v="2"/>
    <m/>
    <n v="23"/>
    <n v="854.39000000000249"/>
  </r>
  <r>
    <d v="2023-12-16T00:00:00"/>
    <x v="11"/>
    <x v="7"/>
    <m/>
    <n v="77"/>
    <n v="777.39000000000249"/>
  </r>
  <r>
    <d v="2023-12-16T00:00:00"/>
    <x v="11"/>
    <x v="55"/>
    <m/>
    <n v="12"/>
    <n v="765.39000000000249"/>
  </r>
  <r>
    <d v="2023-12-16T00:00:00"/>
    <x v="11"/>
    <x v="2"/>
    <m/>
    <n v="26.7"/>
    <n v="738.69000000000244"/>
  </r>
  <r>
    <d v="2023-12-16T00:00:00"/>
    <x v="11"/>
    <x v="69"/>
    <m/>
    <n v="33.15"/>
    <n v="705.54000000000246"/>
  </r>
  <r>
    <d v="2023-12-16T00:00:00"/>
    <x v="11"/>
    <x v="55"/>
    <m/>
    <n v="16.7"/>
    <n v="688.84000000000242"/>
  </r>
  <r>
    <d v="2023-12-16T00:00:00"/>
    <x v="11"/>
    <x v="2"/>
    <m/>
    <n v="20"/>
    <n v="668.84000000000242"/>
  </r>
  <r>
    <d v="2023-12-16T00:00:00"/>
    <x v="11"/>
    <x v="55"/>
    <m/>
    <n v="7.2"/>
    <n v="661.64000000000237"/>
  </r>
  <r>
    <d v="2023-12-16T00:00:00"/>
    <x v="11"/>
    <x v="1"/>
    <m/>
    <n v="262"/>
    <n v="399.64000000000237"/>
  </r>
  <r>
    <d v="2023-12-16T00:00:00"/>
    <x v="11"/>
    <x v="5"/>
    <m/>
    <n v="2"/>
    <n v="397.64000000000237"/>
  </r>
  <r>
    <d v="2023-12-16T00:00:00"/>
    <x v="11"/>
    <x v="70"/>
    <m/>
    <n v="43.02"/>
    <n v="354.62000000000239"/>
  </r>
  <r>
    <d v="2023-12-16T00:00:00"/>
    <x v="11"/>
    <x v="1"/>
    <m/>
    <n v="50"/>
    <n v="304.62000000000239"/>
  </r>
  <r>
    <d v="2023-12-21T00:00:00"/>
    <x v="11"/>
    <x v="71"/>
    <n v="1681"/>
    <m/>
    <n v="1985.6200000000024"/>
  </r>
  <r>
    <d v="2023-12-22T00:00:00"/>
    <x v="11"/>
    <x v="10"/>
    <m/>
    <n v="510"/>
    <n v="1475.6200000000024"/>
  </r>
  <r>
    <d v="2023-12-28T00:00:00"/>
    <x v="11"/>
    <x v="10"/>
    <m/>
    <n v="500.5"/>
    <n v="975.12000000000239"/>
  </r>
  <r>
    <d v="2023-12-31T00:00:00"/>
    <x v="11"/>
    <x v="17"/>
    <m/>
    <n v="307.01"/>
    <n v="668.1100000000024"/>
  </r>
  <r>
    <d v="2024-01-08T00:00:00"/>
    <x v="12"/>
    <x v="8"/>
    <m/>
    <n v="44.87"/>
    <n v="623.2400000000024"/>
  </r>
  <r>
    <d v="2024-01-10T00:00:00"/>
    <x v="12"/>
    <x v="9"/>
    <n v="1750"/>
    <m/>
    <n v="2373.2400000000025"/>
  </r>
  <r>
    <d v="2024-01-10T00:00:00"/>
    <x v="12"/>
    <x v="10"/>
    <m/>
    <n v="1000.5"/>
    <n v="1372.7400000000025"/>
  </r>
  <r>
    <d v="2024-01-16T00:00:00"/>
    <x v="12"/>
    <x v="14"/>
    <m/>
    <n v="3.99"/>
    <n v="1368.7500000000025"/>
  </r>
  <r>
    <d v="2024-01-16T00:00:00"/>
    <x v="12"/>
    <x v="72"/>
    <m/>
    <n v="101.12"/>
    <n v="1267.6300000000024"/>
  </r>
  <r>
    <d v="2024-01-16T00:00:00"/>
    <x v="12"/>
    <x v="73"/>
    <m/>
    <n v="49"/>
    <n v="1218.6300000000024"/>
  </r>
  <r>
    <d v="2024-01-16T00:00:00"/>
    <x v="12"/>
    <x v="49"/>
    <m/>
    <n v="40"/>
    <n v="1178.6300000000024"/>
  </r>
  <r>
    <d v="2024-01-16T00:00:00"/>
    <x v="12"/>
    <x v="70"/>
    <m/>
    <n v="44.12"/>
    <n v="1134.5100000000025"/>
  </r>
  <r>
    <d v="2024-01-16T00:00:00"/>
    <x v="12"/>
    <x v="74"/>
    <m/>
    <n v="48"/>
    <n v="1086.5100000000025"/>
  </r>
  <r>
    <d v="2024-01-16T00:00:00"/>
    <x v="12"/>
    <x v="1"/>
    <m/>
    <n v="212"/>
    <n v="874.51000000000249"/>
  </r>
  <r>
    <d v="2024-01-16T00:00:00"/>
    <x v="12"/>
    <x v="2"/>
    <m/>
    <n v="27.41"/>
    <n v="847.10000000000252"/>
  </r>
  <r>
    <d v="2024-01-16T00:00:00"/>
    <x v="12"/>
    <x v="2"/>
    <m/>
    <n v="27.2"/>
    <n v="819.90000000000248"/>
  </r>
  <r>
    <d v="2024-01-16T00:00:00"/>
    <x v="12"/>
    <x v="75"/>
    <m/>
    <n v="126.04"/>
    <n v="693.86000000000251"/>
  </r>
  <r>
    <d v="2024-01-16T00:00:00"/>
    <x v="12"/>
    <x v="76"/>
    <m/>
    <n v="54.98"/>
    <n v="638.8800000000025"/>
  </r>
  <r>
    <d v="2024-01-16T00:00:00"/>
    <x v="12"/>
    <x v="2"/>
    <m/>
    <n v="32"/>
    <n v="606.8800000000025"/>
  </r>
  <r>
    <d v="2024-01-16T00:00:00"/>
    <x v="12"/>
    <x v="77"/>
    <m/>
    <n v="154"/>
    <n v="452.8800000000025"/>
  </r>
  <r>
    <d v="2024-01-16T00:00:00"/>
    <x v="12"/>
    <x v="70"/>
    <m/>
    <n v="45.24"/>
    <n v="407.64000000000249"/>
  </r>
  <r>
    <d v="2024-01-16T00:00:00"/>
    <x v="12"/>
    <x v="78"/>
    <m/>
    <n v="9.5"/>
    <n v="398.14000000000249"/>
  </r>
  <r>
    <d v="2024-01-16T00:00:00"/>
    <x v="12"/>
    <x v="2"/>
    <m/>
    <n v="23.32"/>
    <n v="374.82000000000249"/>
  </r>
  <r>
    <d v="2024-01-16T00:00:00"/>
    <x v="12"/>
    <x v="39"/>
    <m/>
    <n v="100"/>
    <n v="274.82000000000249"/>
  </r>
  <r>
    <d v="2024-01-16T00:00:00"/>
    <x v="12"/>
    <x v="79"/>
    <m/>
    <n v="49.9"/>
    <n v="224.92000000000249"/>
  </r>
  <r>
    <d v="2024-01-31T00:00:00"/>
    <x v="12"/>
    <x v="17"/>
    <m/>
    <n v="307.01"/>
    <n v="-82.0899999999975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d v="2024-01-01T00:00:00"/>
    <x v="0"/>
    <s v="SALDO"/>
    <n v="676.19"/>
    <m/>
    <n v="676.19"/>
  </r>
  <r>
    <d v="2024-01-02T00:00:00"/>
    <x v="0"/>
    <s v="COMMISSIONI"/>
    <m/>
    <n v="2.7"/>
    <n v="673.49"/>
  </r>
  <r>
    <d v="2024-01-02T00:00:00"/>
    <x v="0"/>
    <s v="COMMISSIONI"/>
    <m/>
    <n v="4.04"/>
    <n v="669.45"/>
  </r>
  <r>
    <d v="2024-01-08T00:00:00"/>
    <x v="0"/>
    <s v="TIM"/>
    <m/>
    <n v="44.87"/>
    <n v="624.58000000000004"/>
  </r>
  <r>
    <d v="2024-01-08T00:00:00"/>
    <x v="0"/>
    <s v="PRELIEVO"/>
    <m/>
    <n v="150"/>
    <n v="474.58000000000004"/>
  </r>
  <r>
    <d v="2024-01-10T00:00:00"/>
    <x v="0"/>
    <s v="STIPENDIO"/>
    <n v="1656"/>
    <m/>
    <n v="2130.58"/>
  </r>
  <r>
    <d v="2024-01-11T00:00:00"/>
    <x v="0"/>
    <s v="CONTO COMUNE"/>
    <m/>
    <n v="500.5"/>
    <n v="1630.08"/>
  </r>
  <r>
    <d v="2024-01-15T00:00:00"/>
    <x v="0"/>
    <s v="CARBURANTE"/>
    <m/>
    <n v="58.74"/>
    <n v="1571.34"/>
  </r>
  <r>
    <d v="2024-01-15T00:00:00"/>
    <x v="0"/>
    <s v="PRELIEVO"/>
    <m/>
    <n v="100"/>
    <n v="1471.34"/>
  </r>
  <r>
    <d v="2024-01-15T00:00:00"/>
    <x v="0"/>
    <s v="COMMISSIONI"/>
    <m/>
    <n v="2"/>
    <n v="1469.34"/>
  </r>
  <r>
    <d v="2024-01-15T00:00:00"/>
    <x v="0"/>
    <s v="MOLINI"/>
    <m/>
    <n v="12.35"/>
    <n v="1456.99"/>
  </r>
  <r>
    <d v="2024-01-15T00:00:00"/>
    <x v="0"/>
    <s v="TOGETHER PRICE"/>
    <m/>
    <n v="3.99"/>
    <n v="1453"/>
  </r>
  <r>
    <d v="2024-01-15T00:00:00"/>
    <x v="0"/>
    <s v="ASSICURAZIONE 3"/>
    <m/>
    <n v="102.33"/>
    <n v="1350.67"/>
  </r>
  <r>
    <d v="2024-01-15T00:00:00"/>
    <x v="0"/>
    <s v="VAFFANLUPPOLO"/>
    <m/>
    <n v="49"/>
    <n v="1301.67"/>
  </r>
  <r>
    <d v="2024-01-15T00:00:00"/>
    <x v="0"/>
    <s v="RIFER GOMME"/>
    <m/>
    <n v="40"/>
    <n v="1261.67"/>
  </r>
  <r>
    <d v="2024-01-15T00:00:00"/>
    <x v="0"/>
    <s v="ZENZERO"/>
    <m/>
    <n v="44.12"/>
    <n v="1217.5500000000002"/>
  </r>
  <r>
    <d v="2024-01-15T00:00:00"/>
    <x v="0"/>
    <s v="SAL DE RISO"/>
    <m/>
    <n v="48"/>
    <n v="1169.5500000000002"/>
  </r>
  <r>
    <d v="2024-01-15T00:00:00"/>
    <x v="0"/>
    <s v="PRELIEVO"/>
    <m/>
    <n v="209.6"/>
    <n v="959.95000000000016"/>
  </r>
  <r>
    <d v="2024-01-15T00:00:00"/>
    <x v="0"/>
    <s v="CARBURANTE"/>
    <m/>
    <n v="27.41"/>
    <n v="932.54000000000019"/>
  </r>
  <r>
    <d v="2024-01-15T00:00:00"/>
    <x v="0"/>
    <s v="CARBURANTE"/>
    <m/>
    <n v="27.2"/>
    <n v="905.34000000000015"/>
  </r>
  <r>
    <d v="2024-01-15T00:00:00"/>
    <x v="0"/>
    <s v="SI CON TE"/>
    <m/>
    <n v="126.04"/>
    <n v="779.30000000000018"/>
  </r>
  <r>
    <d v="2024-01-15T00:00:00"/>
    <x v="0"/>
    <s v="LEGO"/>
    <m/>
    <n v="54.98"/>
    <n v="724.32000000000016"/>
  </r>
  <r>
    <d v="2024-01-15T00:00:00"/>
    <x v="0"/>
    <s v="CARBURANTE"/>
    <m/>
    <n v="32"/>
    <n v="692.32000000000016"/>
  </r>
  <r>
    <d v="2024-01-15T00:00:00"/>
    <x v="0"/>
    <s v="MALTAGLIATI"/>
    <m/>
    <n v="154"/>
    <n v="538.32000000000016"/>
  </r>
  <r>
    <d v="2024-01-15T00:00:00"/>
    <x v="0"/>
    <s v="ZENZERO"/>
    <m/>
    <n v="45.24"/>
    <n v="493.08000000000015"/>
  </r>
  <r>
    <d v="2024-01-15T00:00:00"/>
    <x v="0"/>
    <s v="CAFFE' BELLI"/>
    <m/>
    <n v="9.5"/>
    <n v="483.58000000000015"/>
  </r>
  <r>
    <d v="2024-01-15T00:00:00"/>
    <x v="0"/>
    <s v="CARBURANTE"/>
    <m/>
    <n v="23.32"/>
    <n v="460.26000000000016"/>
  </r>
  <r>
    <d v="2024-01-15T00:00:00"/>
    <x v="0"/>
    <s v="MEZZALUNA"/>
    <m/>
    <n v="100"/>
    <n v="360.26000000000016"/>
  </r>
  <r>
    <d v="2024-01-15T00:00:00"/>
    <x v="0"/>
    <s v="PIANO MULTISPESA"/>
    <m/>
    <n v="-435.02"/>
    <n v="795.2800000000002"/>
  </r>
  <r>
    <d v="2024-01-15T00:00:00"/>
    <x v="0"/>
    <s v="PIANO MULTISPESA"/>
    <m/>
    <n v="146.20999999999998"/>
    <n v="649.07000000000016"/>
  </r>
  <r>
    <d v="2024-01-15T00:00:00"/>
    <x v="0"/>
    <s v="AMAZON PRIME"/>
    <m/>
    <n v="49.9"/>
    <n v="599.17000000000019"/>
  </r>
  <r>
    <d v="2024-01-15T00:00:00"/>
    <x v="0"/>
    <s v="ECO CERTIFICAZIONI"/>
    <m/>
    <n v="98.1"/>
    <n v="501.07000000000016"/>
  </r>
  <r>
    <d v="2024-01-31T00:00:00"/>
    <x v="0"/>
    <s v="RATA PRESTITO"/>
    <m/>
    <n v="307.01"/>
    <n v="194.06000000000017"/>
  </r>
  <r>
    <d v="2024-01-31T00:00:00"/>
    <x v="0"/>
    <s v="CARBURANTE"/>
    <m/>
    <n v="63.06"/>
    <n v="131.00000000000017"/>
  </r>
  <r>
    <d v="2024-02-08T00:00:00"/>
    <x v="1"/>
    <s v="TIM"/>
    <m/>
    <n v="44.87"/>
    <n v="86.130000000000166"/>
  </r>
  <r>
    <d v="2024-02-12T00:00:00"/>
    <x v="1"/>
    <s v="STIPENDIO"/>
    <n v="1981"/>
    <m/>
    <n v="2067.13"/>
  </r>
  <r>
    <d v="2024-02-13T00:00:00"/>
    <x v="1"/>
    <s v="CONTO COMUNE"/>
    <m/>
    <n v="500.5"/>
    <n v="1566.63"/>
  </r>
  <r>
    <d v="2024-02-16T00:00:00"/>
    <x v="1"/>
    <s v="TOGETHER PRICE"/>
    <m/>
    <n v="3.99"/>
    <n v="1562.64"/>
  </r>
  <r>
    <d v="2024-02-16T00:00:00"/>
    <x v="1"/>
    <s v="CAPOLINEA"/>
    <m/>
    <n v="91.5"/>
    <n v="1471.14"/>
  </r>
  <r>
    <d v="2024-02-16T00:00:00"/>
    <x v="1"/>
    <s v="CARBURANTE"/>
    <m/>
    <n v="25.31"/>
    <n v="1445.8300000000002"/>
  </r>
  <r>
    <d v="2024-02-16T00:00:00"/>
    <x v="1"/>
    <s v="CARBURANTE"/>
    <m/>
    <n v="22.97"/>
    <n v="1422.8600000000001"/>
  </r>
  <r>
    <d v="2024-02-16T00:00:00"/>
    <x v="1"/>
    <s v="ZENZERO"/>
    <m/>
    <n v="15.96"/>
    <n v="1406.9"/>
  </r>
  <r>
    <d v="2024-02-16T00:00:00"/>
    <x v="1"/>
    <s v="CARBURANTE"/>
    <m/>
    <n v="23.8"/>
    <n v="1383.1000000000001"/>
  </r>
  <r>
    <d v="2024-02-16T00:00:00"/>
    <x v="1"/>
    <s v="CARBURANTE"/>
    <m/>
    <n v="23"/>
    <n v="1360.1000000000001"/>
  </r>
  <r>
    <d v="2024-02-16T00:00:00"/>
    <x v="1"/>
    <s v="CARBURANTE"/>
    <m/>
    <n v="23.55"/>
    <n v="1336.5500000000002"/>
  </r>
  <r>
    <d v="2024-02-16T00:00:00"/>
    <x v="1"/>
    <s v="CAFFE'"/>
    <m/>
    <n v="10"/>
    <n v="1326.5500000000002"/>
  </r>
  <r>
    <d v="2024-02-16T00:00:00"/>
    <x v="1"/>
    <s v="SI CON TE"/>
    <m/>
    <n v="89.82"/>
    <n v="1236.7300000000002"/>
  </r>
  <r>
    <d v="2024-02-16T00:00:00"/>
    <x v="1"/>
    <s v="RATEIZZAZIONE"/>
    <m/>
    <n v="146.20999999999998"/>
    <n v="1090.5200000000002"/>
  </r>
  <r>
    <d v="2024-02-16T00:00:00"/>
    <x v="1"/>
    <s v="COMMISSIONI"/>
    <m/>
    <n v="2"/>
    <n v="1088.5200000000002"/>
  </r>
  <r>
    <d v="2024-02-19T00:00:00"/>
    <x v="1"/>
    <s v="PRELIEVO"/>
    <m/>
    <n v="50"/>
    <n v="1038.5200000000002"/>
  </r>
  <r>
    <d v="2024-02-19T00:00:00"/>
    <x v="1"/>
    <s v="FIORI"/>
    <m/>
    <n v="35"/>
    <n v="1003.5200000000002"/>
  </r>
  <r>
    <d v="2024-02-19T00:00:00"/>
    <x v="1"/>
    <s v="CARBURANTE"/>
    <m/>
    <n v="14.26"/>
    <n v="989.26000000000022"/>
  </r>
  <r>
    <d v="2024-02-29T00:00:00"/>
    <x v="1"/>
    <s v="RATA PRESTITO"/>
    <m/>
    <n v="307.01"/>
    <n v="682.25000000000023"/>
  </r>
  <r>
    <d v="2024-03-08T00:00:00"/>
    <x v="2"/>
    <s v="TIM"/>
    <m/>
    <n v="44.87"/>
    <n v="637.38000000000022"/>
  </r>
  <r>
    <d v="2024-03-10T00:00:00"/>
    <x v="2"/>
    <s v="STIPENDIO"/>
    <n v="1750"/>
    <m/>
    <n v="2387.38"/>
  </r>
  <r>
    <d v="2024-03-11T00:00:00"/>
    <x v="2"/>
    <s v="CONTO COMUNE"/>
    <m/>
    <n v="500.5"/>
    <n v="1886.88"/>
  </r>
  <r>
    <d v="2024-03-16T00:00:00"/>
    <x v="2"/>
    <s v="TOGETHER PRICE"/>
    <m/>
    <n v="4.25"/>
    <n v="1882.63"/>
  </r>
  <r>
    <d v="2024-03-16T00:00:00"/>
    <x v="2"/>
    <s v="PRELIEVO"/>
    <m/>
    <n v="260"/>
    <n v="1622.63"/>
  </r>
  <r>
    <d v="2024-03-16T00:00:00"/>
    <x v="2"/>
    <s v="CARBURANTE"/>
    <m/>
    <n v="23.3"/>
    <n v="1599.3300000000002"/>
  </r>
  <r>
    <d v="2024-03-16T00:00:00"/>
    <x v="2"/>
    <s v="ZENZERO "/>
    <m/>
    <n v="31.25"/>
    <n v="1568.0800000000002"/>
  </r>
  <r>
    <d v="2024-03-16T00:00:00"/>
    <x v="2"/>
    <s v="ZENZERO "/>
    <m/>
    <n v="17.350000000000001"/>
    <n v="1550.7300000000002"/>
  </r>
  <r>
    <d v="2024-03-16T00:00:00"/>
    <x v="2"/>
    <s v="PIZZA FACTORY"/>
    <m/>
    <n v="27.5"/>
    <n v="1523.2300000000002"/>
  </r>
  <r>
    <d v="2024-03-16T00:00:00"/>
    <x v="2"/>
    <s v="CAFFE'"/>
    <m/>
    <n v="10"/>
    <n v="1513.2300000000002"/>
  </r>
  <r>
    <d v="2024-03-16T00:00:00"/>
    <x v="2"/>
    <s v="SUSHIMI"/>
    <m/>
    <n v="42"/>
    <n v="1471.2300000000002"/>
  </r>
  <r>
    <d v="2024-03-16T00:00:00"/>
    <x v="2"/>
    <s v="PRELIEVO"/>
    <m/>
    <n v="260"/>
    <n v="1211.2300000000002"/>
  </r>
  <r>
    <d v="2024-03-16T00:00:00"/>
    <x v="2"/>
    <s v="CARBURANTE"/>
    <m/>
    <n v="26.66"/>
    <n v="1184.5700000000002"/>
  </r>
  <r>
    <d v="2024-03-16T00:00:00"/>
    <x v="2"/>
    <s v="CARBURANTE"/>
    <m/>
    <n v="25.2"/>
    <n v="1159.3700000000001"/>
  </r>
  <r>
    <d v="2024-03-16T00:00:00"/>
    <x v="2"/>
    <s v="PRELIEVO"/>
    <m/>
    <n v="260"/>
    <n v="899.37000000000012"/>
  </r>
  <r>
    <d v="2024-03-16T00:00:00"/>
    <x v="2"/>
    <s v="MECCANICO"/>
    <m/>
    <n v="146.4"/>
    <n v="752.97000000000014"/>
  </r>
  <r>
    <d v="2024-03-16T00:00:00"/>
    <x v="2"/>
    <s v="CAFFE'"/>
    <m/>
    <n v="37.119999999999997"/>
    <n v="715.85000000000014"/>
  </r>
  <r>
    <d v="2024-03-16T00:00:00"/>
    <x v="2"/>
    <s v="CARBURANTE"/>
    <m/>
    <n v="27.2"/>
    <n v="688.65000000000009"/>
  </r>
  <r>
    <d v="2024-03-31T00:00:00"/>
    <x v="2"/>
    <s v="RATA PRESTITO"/>
    <m/>
    <n v="307.01"/>
    <n v="381.6400000000001"/>
  </r>
  <r>
    <d v="2024-04-08T00:00:00"/>
    <x v="3"/>
    <s v="TIM"/>
    <m/>
    <n v="44.87"/>
    <n v="336.7700000000001"/>
  </r>
  <r>
    <d v="2024-04-10T00:00:00"/>
    <x v="3"/>
    <s v="STIPENDIO"/>
    <n v="1750"/>
    <m/>
    <n v="2086.77"/>
  </r>
  <r>
    <d v="2024-04-11T00:00:00"/>
    <x v="3"/>
    <s v="CONTO COMUNE"/>
    <m/>
    <n v="1000.5"/>
    <n v="1086.27"/>
  </r>
  <r>
    <d v="2024-04-29T00:00:00"/>
    <x v="3"/>
    <s v="CARBURANTE"/>
    <m/>
    <n v="25.91"/>
    <n v="1060.3599999999999"/>
  </r>
  <r>
    <d v="2024-04-30T00:00:00"/>
    <x v="3"/>
    <s v="RATA PRESTITO"/>
    <m/>
    <n v="307.01"/>
    <n v="753.34999999999991"/>
  </r>
  <r>
    <d v="2024-05-06T00:00:00"/>
    <x v="4"/>
    <s v="CONTO COMUNE"/>
    <m/>
    <n v="310"/>
    <n v="443.34999999999991"/>
  </r>
  <r>
    <d v="2024-05-08T00:00:00"/>
    <x v="4"/>
    <s v="TIM"/>
    <m/>
    <n v="47.77"/>
    <n v="395.57999999999993"/>
  </r>
  <r>
    <d v="2024-05-13T00:00:00"/>
    <x v="4"/>
    <s v="STIPENDIO"/>
    <n v="1987"/>
    <m/>
    <n v="2382.58"/>
  </r>
  <r>
    <d v="2024-05-13T00:00:00"/>
    <x v="4"/>
    <s v="CONTO COMUNE"/>
    <m/>
    <n v="510"/>
    <n v="1872.58"/>
  </r>
  <r>
    <d v="2024-05-13T00:00:00"/>
    <x v="4"/>
    <s v="SAVELLI"/>
    <m/>
    <n v="268.89999999999998"/>
    <n v="1603.6799999999998"/>
  </r>
  <r>
    <d v="2024-05-15T00:00:00"/>
    <x v="4"/>
    <s v="PRELIEVO"/>
    <m/>
    <n v="262"/>
    <n v="1341.6799999999998"/>
  </r>
  <r>
    <d v="2024-05-15T00:00:00"/>
    <x v="4"/>
    <s v="RIFER GOMME"/>
    <m/>
    <n v="79.02"/>
    <n v="1262.6599999999999"/>
  </r>
  <r>
    <d v="2024-05-15T00:00:00"/>
    <x v="4"/>
    <s v="CARBURANTE"/>
    <m/>
    <n v="28"/>
    <n v="1234.6599999999999"/>
  </r>
  <r>
    <d v="2024-05-15T00:00:00"/>
    <x v="4"/>
    <s v="CAFFE'"/>
    <m/>
    <n v="10"/>
    <n v="1224.6599999999999"/>
  </r>
  <r>
    <d v="2024-05-15T00:00:00"/>
    <x v="4"/>
    <s v="OASI"/>
    <m/>
    <n v="47.64"/>
    <n v="1177.0199999999998"/>
  </r>
  <r>
    <d v="2024-05-15T00:00:00"/>
    <x v="4"/>
    <s v="OASI"/>
    <m/>
    <n v="59.99"/>
    <n v="1117.0299999999997"/>
  </r>
  <r>
    <d v="2024-05-15T00:00:00"/>
    <x v="4"/>
    <s v="OVS"/>
    <m/>
    <n v="80.099999999999994"/>
    <n v="1036.9299999999998"/>
  </r>
  <r>
    <d v="2024-05-15T00:00:00"/>
    <x v="4"/>
    <s v="PIZZA FACTORY"/>
    <m/>
    <n v="26.7"/>
    <n v="1010.2299999999998"/>
  </r>
  <r>
    <d v="2024-05-15T00:00:00"/>
    <x v="4"/>
    <s v="CAPOLINEA"/>
    <m/>
    <n v="36"/>
    <n v="974.22999999999979"/>
  </r>
  <r>
    <d v="2024-05-15T00:00:00"/>
    <x v="4"/>
    <s v="ZENZERO"/>
    <m/>
    <n v="16.14"/>
    <n v="958.0899999999998"/>
  </r>
  <r>
    <d v="2024-05-15T00:00:00"/>
    <x v="4"/>
    <s v="GELATO"/>
    <m/>
    <n v="17"/>
    <n v="941.0899999999998"/>
  </r>
  <r>
    <d v="2024-05-15T00:00:00"/>
    <x v="4"/>
    <s v="OASI"/>
    <m/>
    <n v="26.92"/>
    <n v="914.16999999999985"/>
  </r>
  <r>
    <d v="2024-05-15T00:00:00"/>
    <x v="4"/>
    <s v="OASI"/>
    <m/>
    <n v="59.99"/>
    <n v="854.17999999999984"/>
  </r>
  <r>
    <d v="2024-05-15T00:00:00"/>
    <x v="4"/>
    <s v="FARMACIA"/>
    <m/>
    <n v="21.92"/>
    <n v="832.25999999999988"/>
  </r>
  <r>
    <d v="2024-05-15T00:00:00"/>
    <x v="4"/>
    <s v="AMAZON"/>
    <m/>
    <n v="45.98"/>
    <n v="786.27999999999986"/>
  </r>
  <r>
    <d v="2024-05-15T00:00:00"/>
    <x v="4"/>
    <s v="CARBURANTE"/>
    <m/>
    <n v="28"/>
    <n v="758.27999999999986"/>
  </r>
  <r>
    <d v="2024-05-15T00:00:00"/>
    <x v="4"/>
    <s v="CESAR SALUMI"/>
    <m/>
    <n v="136.47999999999999"/>
    <n v="621.79999999999984"/>
  </r>
  <r>
    <d v="2024-05-15T00:00:00"/>
    <x v="4"/>
    <s v="PECCATI DI GOLA"/>
    <m/>
    <n v="74"/>
    <n v="547.79999999999984"/>
  </r>
  <r>
    <d v="2024-05-15T00:00:00"/>
    <x v="4"/>
    <s v="TOGETHER PRICE"/>
    <m/>
    <n v="4.25"/>
    <n v="543.54999999999984"/>
  </r>
  <r>
    <d v="2024-05-15T00:00:00"/>
    <x v="4"/>
    <s v="RATEIZZAZIONE"/>
    <m/>
    <n v="-415.58"/>
    <n v="959.12999999999988"/>
  </r>
  <r>
    <d v="2024-05-15T00:00:00"/>
    <x v="4"/>
    <s v="RATEIZZAZIONE"/>
    <m/>
    <n v="138.53"/>
    <n v="820.59999999999991"/>
  </r>
  <r>
    <d v="2024-05-15T00:00:00"/>
    <x v="4"/>
    <s v="COMMISSIONI"/>
    <m/>
    <n v="3.2"/>
    <n v="817.39999999999986"/>
  </r>
  <r>
    <d v="2024-05-27T00:00:00"/>
    <x v="4"/>
    <s v="CARBURANTE"/>
    <m/>
    <n v="50.01"/>
    <n v="767.38999999999987"/>
  </r>
  <r>
    <d v="2024-05-31T00:00:00"/>
    <x v="4"/>
    <s v="RATA PRESTITO"/>
    <m/>
    <n v="307.01"/>
    <n v="460.37999999999988"/>
  </r>
  <r>
    <d v="2024-06-03T00:00:00"/>
    <x v="5"/>
    <s v="PRELIEVO"/>
    <m/>
    <n v="50"/>
    <n v="410.37999999999988"/>
  </r>
  <r>
    <d v="2024-06-10T00:00:00"/>
    <x v="5"/>
    <s v="TIM"/>
    <m/>
    <n v="47.77"/>
    <n v="362.6099999999999"/>
  </r>
  <r>
    <d v="2024-06-11T00:00:00"/>
    <x v="5"/>
    <s v="TFR"/>
    <n v="10010"/>
    <m/>
    <n v="10372.61"/>
  </r>
  <r>
    <d v="2024-06-11T00:00:00"/>
    <x v="5"/>
    <s v="STIPENDIO"/>
    <n v="1816"/>
    <m/>
    <n v="12188.61"/>
  </r>
  <r>
    <d v="2024-06-11T00:00:00"/>
    <x v="5"/>
    <s v="CONTO COMUNE"/>
    <m/>
    <n v="5000.5"/>
    <n v="7188.1100000000006"/>
  </r>
  <r>
    <d v="2024-06-15T00:00:00"/>
    <x v="5"/>
    <s v="SUSHIMI"/>
    <m/>
    <n v="57"/>
    <n v="7131.1100000000006"/>
  </r>
  <r>
    <d v="2024-06-15T00:00:00"/>
    <x v="5"/>
    <s v="D+"/>
    <m/>
    <n v="56.07"/>
    <n v="7075.0400000000009"/>
  </r>
  <r>
    <d v="2024-06-15T00:00:00"/>
    <x v="5"/>
    <s v="AGRA MATER"/>
    <m/>
    <n v="145"/>
    <n v="6930.0400000000009"/>
  </r>
  <r>
    <d v="2024-06-15T00:00:00"/>
    <x v="5"/>
    <s v="ASITE"/>
    <m/>
    <n v="50"/>
    <n v="6880.0400000000009"/>
  </r>
  <r>
    <d v="2024-06-15T00:00:00"/>
    <x v="5"/>
    <s v="CARBURANTE"/>
    <m/>
    <n v="27.4"/>
    <n v="6852.6400000000012"/>
  </r>
  <r>
    <d v="2024-06-15T00:00:00"/>
    <x v="5"/>
    <s v="CINESI"/>
    <m/>
    <n v="29.44"/>
    <n v="6823.2000000000016"/>
  </r>
  <r>
    <d v="2024-06-15T00:00:00"/>
    <x v="5"/>
    <s v="ZENZERO"/>
    <m/>
    <n v="62.28"/>
    <n v="6760.9200000000019"/>
  </r>
  <r>
    <d v="2024-06-15T00:00:00"/>
    <x v="5"/>
    <s v="D+"/>
    <m/>
    <n v="29.18"/>
    <n v="6731.7400000000016"/>
  </r>
  <r>
    <d v="2024-06-15T00:00:00"/>
    <x v="5"/>
    <s v="CARBURANTE"/>
    <m/>
    <n v="27.6"/>
    <n v="6704.1400000000012"/>
  </r>
  <r>
    <d v="2024-06-15T00:00:00"/>
    <x v="5"/>
    <s v="CAFFE'"/>
    <m/>
    <n v="10"/>
    <n v="6694.1400000000012"/>
  </r>
  <r>
    <d v="2024-06-15T00:00:00"/>
    <x v="5"/>
    <s v="ZENZERO"/>
    <m/>
    <n v="77.61"/>
    <n v="6616.5300000000016"/>
  </r>
  <r>
    <d v="2024-06-15T00:00:00"/>
    <x v="5"/>
    <s v="ALTAMAREA"/>
    <m/>
    <n v="51"/>
    <n v="6565.5300000000016"/>
  </r>
  <r>
    <d v="2024-06-15T00:00:00"/>
    <x v="5"/>
    <s v="KOKONUTS"/>
    <m/>
    <n v="15"/>
    <n v="6550.5300000000016"/>
  </r>
  <r>
    <d v="2024-06-15T00:00:00"/>
    <x v="5"/>
    <s v="CARBURANTE"/>
    <m/>
    <n v="22.81"/>
    <n v="6527.7200000000012"/>
  </r>
  <r>
    <d v="2024-06-15T00:00:00"/>
    <x v="5"/>
    <s v="D+"/>
    <m/>
    <n v="8.43"/>
    <n v="6519.2900000000009"/>
  </r>
  <r>
    <d v="2024-06-15T00:00:00"/>
    <x v="5"/>
    <s v="TOGETHER PRICE"/>
    <m/>
    <n v="4.25"/>
    <n v="6515.0400000000009"/>
  </r>
  <r>
    <d v="2024-06-15T00:00:00"/>
    <x v="5"/>
    <s v="ASITE"/>
    <m/>
    <n v="50"/>
    <n v="6465.0400000000009"/>
  </r>
  <r>
    <d v="2024-06-15T00:00:00"/>
    <x v="5"/>
    <s v="CARBURANTE"/>
    <m/>
    <n v="21.31"/>
    <n v="6443.7300000000005"/>
  </r>
  <r>
    <d v="2024-06-15T00:00:00"/>
    <x v="5"/>
    <s v="CAFFE'"/>
    <m/>
    <n v="10"/>
    <n v="6433.7300000000005"/>
  </r>
  <r>
    <d v="2024-06-15T00:00:00"/>
    <x v="5"/>
    <s v="RIFER GOMME"/>
    <m/>
    <n v="30"/>
    <n v="6403.7300000000005"/>
  </r>
  <r>
    <d v="2024-06-15T00:00:00"/>
    <x v="5"/>
    <s v="MOLINI"/>
    <m/>
    <n v="9.6"/>
    <n v="6394.13"/>
  </r>
  <r>
    <d v="2024-06-15T00:00:00"/>
    <x v="5"/>
    <s v="RATEIZZAZIONE"/>
    <m/>
    <n v="138.53"/>
    <n v="6255.6"/>
  </r>
  <r>
    <d v="2024-06-15T00:00:00"/>
    <x v="5"/>
    <s v="COMMISSIONI"/>
    <m/>
    <n v="5.6"/>
    <n v="6250"/>
  </r>
  <r>
    <d v="2024-06-15T00:00:00"/>
    <x v="5"/>
    <s v="RATEIZZAZIONE"/>
    <m/>
    <n v="182.99"/>
    <n v="6067.01"/>
  </r>
  <r>
    <d v="2024-06-15T00:00:00"/>
    <x v="5"/>
    <s v="RATEIZZAZIONE"/>
    <m/>
    <n v="-548.96"/>
    <n v="6615.97"/>
  </r>
  <r>
    <d v="2024-06-18T00:00:00"/>
    <x v="5"/>
    <s v="CARBURANTE"/>
    <m/>
    <n v="26.95"/>
    <n v="6589.02"/>
  </r>
  <r>
    <d v="2024-06-19T00:00:00"/>
    <x v="5"/>
    <s v="CARBURANTE"/>
    <m/>
    <n v="30"/>
    <n v="6559.02"/>
  </r>
  <r>
    <d v="2024-06-24T00:00:00"/>
    <x v="5"/>
    <s v="CARBURANTE"/>
    <m/>
    <n v="26.9"/>
    <n v="6532.1200000000008"/>
  </r>
  <r>
    <d v="2024-06-27T00:00:00"/>
    <x v="5"/>
    <s v="PRELIEVO"/>
    <m/>
    <n v="250"/>
    <n v="6282.1200000000008"/>
  </r>
  <r>
    <d v="2024-06-27T00:00:00"/>
    <x v="5"/>
    <s v="CARBURANTE"/>
    <m/>
    <n v="15.77"/>
    <n v="6266.35"/>
  </r>
  <r>
    <d v="2024-06-30T00:00:00"/>
    <x v="5"/>
    <s v="RATA PRESTITO"/>
    <m/>
    <n v="307.01"/>
    <n v="5959.34"/>
  </r>
  <r>
    <d v="2024-07-01T00:00:00"/>
    <x v="6"/>
    <s v="CARBURANTE"/>
    <m/>
    <n v="28.15"/>
    <n v="5931.1900000000005"/>
  </r>
  <r>
    <d v="2024-07-08T00:00:00"/>
    <x v="6"/>
    <s v="SPESE E COMPETENZE"/>
    <m/>
    <n v="24.7"/>
    <n v="5906.4900000000007"/>
  </r>
  <r>
    <d v="2024-07-08T00:00:00"/>
    <x v="6"/>
    <s v="TIM"/>
    <m/>
    <n v="47.77"/>
    <n v="5858.72"/>
  </r>
  <r>
    <d v="2024-07-11T00:00:00"/>
    <x v="6"/>
    <s v="STIPENDIO"/>
    <n v="2979"/>
    <m/>
    <n v="8837.7200000000012"/>
  </r>
  <r>
    <d v="2024-07-12T00:00:00"/>
    <x v="6"/>
    <s v="CONTO COMUNE"/>
    <m/>
    <n v="1500.5"/>
    <n v="7337.2200000000012"/>
  </r>
  <r>
    <d v="2024-07-15T00:00:00"/>
    <x v="6"/>
    <s v="ARROSTICIAMO"/>
    <m/>
    <n v="66.5"/>
    <n v="7270.7200000000012"/>
  </r>
  <r>
    <d v="2024-07-15T00:00:00"/>
    <x v="6"/>
    <s v="GIUNTI"/>
    <m/>
    <n v="27.7"/>
    <n v="7243.0200000000013"/>
  </r>
  <r>
    <d v="2024-07-15T00:00:00"/>
    <x v="6"/>
    <s v="ALTAMAREA"/>
    <m/>
    <n v="32.1"/>
    <n v="7210.920000000001"/>
  </r>
  <r>
    <d v="2024-07-15T00:00:00"/>
    <x v="6"/>
    <s v="DECATHLON"/>
    <m/>
    <n v="138.88"/>
    <n v="7072.0400000000009"/>
  </r>
  <r>
    <d v="2024-07-15T00:00:00"/>
    <x v="6"/>
    <s v="AMAZON"/>
    <m/>
    <n v="30.89"/>
    <n v="7041.1500000000005"/>
  </r>
  <r>
    <d v="2024-07-15T00:00:00"/>
    <x v="6"/>
    <s v="CARBURANTE"/>
    <m/>
    <n v="27.45"/>
    <n v="7013.7000000000007"/>
  </r>
  <r>
    <d v="2024-07-15T00:00:00"/>
    <x v="6"/>
    <s v="MOLINI"/>
    <m/>
    <n v="12"/>
    <n v="7001.7000000000007"/>
  </r>
  <r>
    <d v="2024-07-15T00:00:00"/>
    <x v="6"/>
    <s v="TOUR SANTORINI"/>
    <m/>
    <n v="64"/>
    <n v="6937.7000000000007"/>
  </r>
  <r>
    <d v="2024-07-15T00:00:00"/>
    <x v="6"/>
    <s v="PRELIEVO"/>
    <m/>
    <n v="262"/>
    <n v="6675.7000000000007"/>
  </r>
  <r>
    <d v="2024-07-15T00:00:00"/>
    <x v="6"/>
    <s v="GLOBO"/>
    <m/>
    <n v="75.88"/>
    <n v="6599.8200000000006"/>
  </r>
  <r>
    <d v="2024-07-15T00:00:00"/>
    <x v="6"/>
    <s v="QUOTA CARTA DI CREDITO"/>
    <m/>
    <n v="33"/>
    <n v="6566.8200000000006"/>
  </r>
  <r>
    <d v="2024-07-15T00:00:00"/>
    <x v="6"/>
    <s v="CAFFE'"/>
    <m/>
    <n v="10"/>
    <n v="6556.8200000000006"/>
  </r>
  <r>
    <d v="2024-07-15T00:00:00"/>
    <x v="6"/>
    <s v="TOGETHER PRICE"/>
    <m/>
    <n v="4.25"/>
    <n v="6552.5700000000006"/>
  </r>
  <r>
    <d v="2024-07-15T00:00:00"/>
    <x v="6"/>
    <s v="RATEIZZAZIONE"/>
    <m/>
    <n v="138.52000000000001"/>
    <n v="6414.05"/>
  </r>
  <r>
    <d v="2024-07-15T00:00:00"/>
    <x v="6"/>
    <s v="RATEIZZAZIONE"/>
    <m/>
    <n v="182.99"/>
    <n v="6231.06"/>
  </r>
  <r>
    <d v="2024-07-15T00:00:00"/>
    <x v="6"/>
    <s v="COMMISSIONI"/>
    <m/>
    <n v="5.6"/>
    <n v="6225.46"/>
  </r>
  <r>
    <d v="2024-07-31T00:00:00"/>
    <x v="6"/>
    <s v="RATA PRESTITO"/>
    <m/>
    <n v="307.01"/>
    <n v="5918.45"/>
  </r>
  <r>
    <d v="2024-08-08T00:00:00"/>
    <x v="7"/>
    <s v="SALDO AL 08/08/2024"/>
    <m/>
    <n v="0"/>
    <n v="4487.7"/>
  </r>
  <r>
    <d v="2024-08-08T00:00:00"/>
    <x v="7"/>
    <s v="STIPENDIO"/>
    <n v="1831"/>
    <m/>
    <n v="6318.7"/>
  </r>
  <r>
    <d v="2024-08-11T00:00:00"/>
    <x v="7"/>
    <s v="CONTO COMUNE"/>
    <m/>
    <n v="500.5"/>
    <n v="5818.2"/>
  </r>
  <r>
    <d v="2024-08-13T00:00:00"/>
    <x v="7"/>
    <s v="CARBURANTE"/>
    <m/>
    <n v="50.01"/>
    <n v="5768.19"/>
  </r>
  <r>
    <d v="2024-08-15T00:00:00"/>
    <x v="7"/>
    <s v="CAFFE'"/>
    <m/>
    <n v="10"/>
    <n v="5758.19"/>
  </r>
  <r>
    <d v="2024-08-15T00:00:00"/>
    <x v="7"/>
    <s v="CARBURANTE"/>
    <m/>
    <n v="27"/>
    <n v="5731.19"/>
  </r>
  <r>
    <d v="2024-08-15T00:00:00"/>
    <x v="7"/>
    <s v="CARBURANTE"/>
    <m/>
    <n v="27.31"/>
    <n v="5703.8799999999992"/>
  </r>
  <r>
    <d v="2024-08-15T00:00:00"/>
    <x v="7"/>
    <s v="CAFFE'"/>
    <m/>
    <n v="10"/>
    <n v="5693.8799999999992"/>
  </r>
  <r>
    <d v="2024-08-15T00:00:00"/>
    <x v="7"/>
    <s v="OVS"/>
    <m/>
    <n v="56.45"/>
    <n v="5637.4299999999994"/>
  </r>
  <r>
    <d v="2024-08-15T00:00:00"/>
    <x v="7"/>
    <s v="TOGETHER PRICE"/>
    <m/>
    <n v="4.25"/>
    <n v="5633.1799999999994"/>
  </r>
  <r>
    <d v="2024-08-15T00:00:00"/>
    <x v="7"/>
    <s v="AMAZON"/>
    <m/>
    <n v="140.47999999999999"/>
    <n v="5492.7"/>
  </r>
  <r>
    <d v="2024-08-15T00:00:00"/>
    <x v="7"/>
    <s v="CARBURANTE"/>
    <m/>
    <n v="27.6"/>
    <n v="5465.0999999999995"/>
  </r>
  <r>
    <d v="2024-08-15T00:00:00"/>
    <x v="7"/>
    <s v="RATEIZZAZIONE"/>
    <m/>
    <n v="182.98"/>
    <n v="5282.12"/>
  </r>
  <r>
    <d v="2024-08-15T00:00:00"/>
    <x v="7"/>
    <s v="COMMISSIONI"/>
    <m/>
    <n v="4.4000000000000004"/>
    <n v="5277.72"/>
  </r>
  <r>
    <d v="2024-08-26T00:00:00"/>
    <x v="7"/>
    <s v="CARBURANTE"/>
    <m/>
    <n v="50.06"/>
    <n v="5227.66"/>
  </r>
  <r>
    <d v="2024-08-31T00:00:00"/>
    <x v="7"/>
    <s v="RATA PRESTITO"/>
    <m/>
    <n v="307.01"/>
    <n v="4920.6499999999996"/>
  </r>
  <r>
    <d v="2024-09-05T00:00:00"/>
    <x v="8"/>
    <s v="ZENZERO"/>
    <m/>
    <n v="16.399999999999999"/>
    <n v="4904.25"/>
  </r>
  <r>
    <d v="2024-09-09T00:00:00"/>
    <x v="8"/>
    <s v="TIM"/>
    <m/>
    <n v="47.77"/>
    <n v="4856.4799999999996"/>
  </r>
  <r>
    <d v="2024-09-10T00:00:00"/>
    <x v="8"/>
    <s v="STIPENDIO"/>
    <n v="1830"/>
    <m/>
    <n v="6686.48"/>
  </r>
  <r>
    <d v="2024-09-11T00:00:00"/>
    <x v="8"/>
    <s v="CONTO COMUNE"/>
    <m/>
    <n v="500.5"/>
    <n v="6185.98"/>
  </r>
  <r>
    <d v="2024-09-11T00:00:00"/>
    <x v="8"/>
    <s v="PRELIEVO"/>
    <m/>
    <n v="250"/>
    <n v="5935.98"/>
  </r>
  <r>
    <d v="2024-09-16T00:00:00"/>
    <x v="8"/>
    <s v="RINNOVO GOOGLE"/>
    <m/>
    <n v="99.99"/>
    <n v="5835.99"/>
  </r>
  <r>
    <d v="2024-09-16T00:00:00"/>
    <x v="8"/>
    <s v="PRELIEVO"/>
    <m/>
    <n v="262"/>
    <n v="5573.99"/>
  </r>
  <r>
    <d v="2024-09-16T00:00:00"/>
    <x v="8"/>
    <s v="CAFFE'"/>
    <m/>
    <n v="10"/>
    <n v="5563.99"/>
  </r>
  <r>
    <d v="2024-09-16T00:00:00"/>
    <x v="8"/>
    <s v="CARBURANTE"/>
    <m/>
    <n v="27.9"/>
    <n v="5536.09"/>
  </r>
  <r>
    <d v="2024-09-16T00:00:00"/>
    <x v="8"/>
    <s v="OBI"/>
    <m/>
    <n v="179.9"/>
    <n v="5356.1900000000005"/>
  </r>
  <r>
    <d v="2024-09-16T00:00:00"/>
    <x v="8"/>
    <s v="CS SPORT"/>
    <m/>
    <n v="315"/>
    <n v="5041.1900000000005"/>
  </r>
  <r>
    <d v="2024-09-16T00:00:00"/>
    <x v="8"/>
    <s v="CARBURANTE"/>
    <m/>
    <n v="28.1"/>
    <n v="5013.09"/>
  </r>
  <r>
    <d v="2024-09-16T00:00:00"/>
    <x v="8"/>
    <s v="TOGETHER PRICE"/>
    <m/>
    <n v="4.25"/>
    <n v="5008.84"/>
  </r>
  <r>
    <d v="2024-09-16T00:00:00"/>
    <x v="8"/>
    <s v="MON AMOUR"/>
    <m/>
    <n v="20"/>
    <n v="4988.84"/>
  </r>
  <r>
    <d v="2024-09-16T00:00:00"/>
    <x v="8"/>
    <s v="COMMISSIONI"/>
    <m/>
    <n v="8"/>
    <n v="4980.84"/>
  </r>
  <r>
    <d v="2024-09-16T00:00:00"/>
    <x v="8"/>
    <s v="XVIDEO"/>
    <m/>
    <n v="9.99"/>
    <n v="4970.8500000000004"/>
  </r>
  <r>
    <d v="2024-09-16T00:00:00"/>
    <x v="8"/>
    <s v="CARBURANTE"/>
    <m/>
    <n v="16.350000000000001"/>
    <n v="4954.5"/>
  </r>
  <r>
    <d v="2024-09-16T00:00:00"/>
    <x v="8"/>
    <s v="CARBURANTE"/>
    <m/>
    <n v="28.1"/>
    <n v="4926.3999999999996"/>
  </r>
  <r>
    <d v="2024-09-19T00:00:00"/>
    <x v="8"/>
    <s v="SAVELLI"/>
    <m/>
    <n v="308.5"/>
    <n v="4617.8999999999996"/>
  </r>
  <r>
    <d v="2024-09-25T00:00:00"/>
    <x v="8"/>
    <s v="1° RATA TARI"/>
    <m/>
    <n v="116"/>
    <n v="4501.8999999999996"/>
  </r>
  <r>
    <d v="2024-09-25T00:00:00"/>
    <x v="8"/>
    <s v="CARBURANTE"/>
    <m/>
    <n v="26.07"/>
    <n v="4475.83"/>
  </r>
  <r>
    <d v="2024-09-30T00:00:00"/>
    <x v="8"/>
    <s v="RATA PRESTITO"/>
    <m/>
    <n v="307.01"/>
    <n v="4168.82"/>
  </r>
  <r>
    <d v="2024-10-01T00:00:00"/>
    <x v="9"/>
    <s v="MOLINI"/>
    <m/>
    <n v="17"/>
    <n v="4151.82"/>
  </r>
  <r>
    <d v="2024-10-01T00:00:00"/>
    <x v="9"/>
    <s v="COMMISSIONI"/>
    <m/>
    <n v="2.7"/>
    <n v="4149.12"/>
  </r>
  <r>
    <d v="2024-10-03T00:00:00"/>
    <x v="9"/>
    <s v="MOLINI"/>
    <m/>
    <n v="8"/>
    <n v="4141.12"/>
  </r>
  <r>
    <d v="2024-10-03T00:00:00"/>
    <x v="9"/>
    <s v="LINEAR"/>
    <m/>
    <n v="333.96"/>
    <n v="3807.16"/>
  </r>
  <r>
    <d v="2024-10-04T00:00:00"/>
    <x v="9"/>
    <s v="ZENZERO"/>
    <m/>
    <n v="8.5"/>
    <n v="3798.66"/>
  </r>
  <r>
    <d v="2024-10-07T00:00:00"/>
    <x v="9"/>
    <s v="MOLINI"/>
    <m/>
    <n v="6"/>
    <n v="3792.66"/>
  </r>
  <r>
    <d v="2024-10-07T00:00:00"/>
    <x v="9"/>
    <s v="CONTO COMUNE"/>
    <m/>
    <n v="500.5"/>
    <n v="3292.16"/>
  </r>
  <r>
    <d v="2024-10-08T00:00:00"/>
    <x v="9"/>
    <s v="TIM"/>
    <m/>
    <n v="47.77"/>
    <n v="3244.39"/>
  </r>
  <r>
    <d v="2024-10-09T00:00:00"/>
    <x v="9"/>
    <s v="MOLINI"/>
    <m/>
    <n v="10"/>
    <n v="3234.39"/>
  </r>
  <r>
    <d v="2024-10-09T00:00:00"/>
    <x v="9"/>
    <s v="CARBURANTE"/>
    <m/>
    <n v="27.85"/>
    <n v="3206.54"/>
  </r>
  <r>
    <d v="2024-10-10T00:00:00"/>
    <x v="9"/>
    <s v="CARBURANTE"/>
    <m/>
    <n v="100"/>
    <n v="3106.54"/>
  </r>
  <r>
    <d v="2024-10-11T00:00:00"/>
    <x v="9"/>
    <s v="STIPENDIO"/>
    <n v="1826"/>
    <m/>
    <n v="4932.54"/>
  </r>
  <r>
    <d v="2024-10-11T00:00:00"/>
    <x v="9"/>
    <s v="CONTO COMUNE"/>
    <m/>
    <n v="500.5"/>
    <n v="4432.04"/>
  </r>
  <r>
    <d v="2024-10-15T00:00:00"/>
    <x v="9"/>
    <s v="COMMISSIONI"/>
    <m/>
    <n v="24.09"/>
    <n v="4407.95"/>
  </r>
  <r>
    <d v="2024-10-16T00:00:00"/>
    <x v="9"/>
    <s v="CAFFE'"/>
    <m/>
    <n v="10"/>
    <n v="4397.95"/>
  </r>
  <r>
    <d v="2024-10-16T00:00:00"/>
    <x v="9"/>
    <s v="PRELIEVO"/>
    <m/>
    <n v="262"/>
    <n v="4135.95"/>
  </r>
  <r>
    <d v="2024-10-16T00:00:00"/>
    <x v="9"/>
    <s v="SUSHIMI"/>
    <m/>
    <n v="57"/>
    <n v="4078.95"/>
  </r>
  <r>
    <d v="2024-10-16T00:00:00"/>
    <x v="9"/>
    <s v="CARBURANTE"/>
    <m/>
    <n v="24.66"/>
    <n v="4054.29"/>
  </r>
  <r>
    <d v="2024-10-16T00:00:00"/>
    <x v="9"/>
    <s v="AMAZON"/>
    <m/>
    <n v="36"/>
    <n v="4018.29"/>
  </r>
  <r>
    <d v="2024-10-16T00:00:00"/>
    <x v="9"/>
    <s v="SI CON TE"/>
    <m/>
    <n v="107.13"/>
    <n v="3911.16"/>
  </r>
  <r>
    <d v="2024-10-16T00:00:00"/>
    <x v="9"/>
    <s v="CAFFE'"/>
    <m/>
    <n v="10"/>
    <n v="3901.16"/>
  </r>
  <r>
    <d v="2024-10-16T00:00:00"/>
    <x v="9"/>
    <s v="AMAZON"/>
    <m/>
    <n v="90.31"/>
    <n v="3810.85"/>
  </r>
  <r>
    <d v="2024-10-16T00:00:00"/>
    <x v="9"/>
    <s v="AMAZON"/>
    <m/>
    <n v="899"/>
    <n v="2911.85"/>
  </r>
  <r>
    <d v="2024-10-16T00:00:00"/>
    <x v="9"/>
    <s v="RATEIZZAZIONE"/>
    <m/>
    <n v="-1057.3200000000002"/>
    <n v="3969.17"/>
  </r>
  <r>
    <d v="2024-10-16T00:00:00"/>
    <x v="9"/>
    <s v="COMMISSIONI"/>
    <m/>
    <n v="8.3000000000000007"/>
    <n v="3960.87"/>
  </r>
  <r>
    <d v="2024-10-24T00:00:00"/>
    <x v="9"/>
    <s v="MOLINI"/>
    <m/>
    <n v="14.1"/>
    <n v="3946.77"/>
  </r>
  <r>
    <d v="2024-10-25T00:00:00"/>
    <x v="9"/>
    <s v="CARBURANTE"/>
    <m/>
    <n v="25.25"/>
    <n v="3921.52"/>
  </r>
  <r>
    <d v="2024-10-28T00:00:00"/>
    <x v="9"/>
    <s v="LEONI"/>
    <m/>
    <n v="22"/>
    <n v="3899.52"/>
  </r>
  <r>
    <d v="2024-10-28T00:00:00"/>
    <x v="9"/>
    <s v="GLOBO"/>
    <m/>
    <n v="55.95"/>
    <n v="3843.57"/>
  </r>
  <r>
    <d v="2024-10-30T00:00:00"/>
    <x v="9"/>
    <s v="CONTO COMUNE"/>
    <m/>
    <n v="500.5"/>
    <n v="3343.07"/>
  </r>
  <r>
    <d v="2024-10-31T00:00:00"/>
    <x v="9"/>
    <s v="RATA PRESTITO"/>
    <m/>
    <n v="307.01"/>
    <n v="3036.0600000000004"/>
  </r>
  <r>
    <d v="2024-10-31T00:00:00"/>
    <x v="9"/>
    <s v="TARI"/>
    <m/>
    <n v="116"/>
    <n v="2920.0600000000004"/>
  </r>
  <r>
    <d v="2024-11-04T00:00:00"/>
    <x v="10"/>
    <s v="CARBURANTE"/>
    <m/>
    <n v="34"/>
    <n v="2886.0600000000004"/>
  </r>
  <r>
    <d v="2024-11-04T00:00:00"/>
    <x v="10"/>
    <s v="CARBURANTE"/>
    <m/>
    <n v="65"/>
    <n v="2821.0600000000004"/>
  </r>
  <r>
    <d v="2024-11-07T00:00:00"/>
    <x v="10"/>
    <s v="PRELIEVO"/>
    <m/>
    <n v="100"/>
    <n v="2721.0600000000004"/>
  </r>
  <r>
    <d v="2024-11-08T00:00:00"/>
    <x v="10"/>
    <s v="TIM"/>
    <m/>
    <n v="47.77"/>
    <n v="2673.2900000000004"/>
  </r>
  <r>
    <d v="2024-11-08T00:00:00"/>
    <x v="10"/>
    <s v="MOLINI"/>
    <m/>
    <n v="12.7"/>
    <n v="2660.5900000000006"/>
  </r>
  <r>
    <d v="2024-11-08T00:00:00"/>
    <x v="10"/>
    <s v="LEONI"/>
    <m/>
    <n v="22"/>
    <n v="2638.5900000000006"/>
  </r>
  <r>
    <d v="2024-11-08T00:00:00"/>
    <x v="10"/>
    <s v="CARBURANTE"/>
    <m/>
    <n v="28.09"/>
    <n v="2610.5000000000005"/>
  </r>
  <r>
    <d v="2024-11-11T00:00:00"/>
    <x v="10"/>
    <s v="CONTO COMUNE"/>
    <m/>
    <n v="500.5"/>
    <n v="2110.0000000000005"/>
  </r>
  <r>
    <d v="2024-11-11T00:00:00"/>
    <x v="10"/>
    <s v="STIPENDIO"/>
    <n v="1736"/>
    <m/>
    <n v="3846.0000000000005"/>
  </r>
  <r>
    <d v="2024-11-16T00:00:00"/>
    <x v="10"/>
    <s v="AMAZON"/>
    <m/>
    <n v="35.159999999999997"/>
    <n v="3810.8400000000006"/>
  </r>
  <r>
    <d v="2024-11-16T00:00:00"/>
    <x v="10"/>
    <s v="CAFFE'"/>
    <m/>
    <n v="10"/>
    <n v="3800.8400000000006"/>
  </r>
  <r>
    <d v="2024-11-16T00:00:00"/>
    <x v="10"/>
    <s v="AMAZON"/>
    <m/>
    <n v="26.25"/>
    <n v="3774.5900000000006"/>
  </r>
  <r>
    <d v="2024-11-16T00:00:00"/>
    <x v="10"/>
    <s v="RATEIZZAZIONE"/>
    <m/>
    <n v="96.12"/>
    <n v="3678.4700000000007"/>
  </r>
  <r>
    <d v="2024-11-16T00:00:00"/>
    <x v="10"/>
    <s v="COMMISSIONI"/>
    <m/>
    <n v="8.3000000000000007"/>
    <n v="3670.1700000000005"/>
  </r>
  <r>
    <d v="2024-11-16T00:00:00"/>
    <x v="10"/>
    <s v="AMAZON"/>
    <m/>
    <n v="99"/>
    <n v="3571.1700000000005"/>
  </r>
  <r>
    <d v="2024-11-16T00:00:00"/>
    <x v="10"/>
    <s v="TOGETHER PRICE"/>
    <m/>
    <n v="4.25"/>
    <n v="3566.9200000000005"/>
  </r>
  <r>
    <d v="2024-11-18T00:00:00"/>
    <x v="10"/>
    <s v="AUTOPOMPEI"/>
    <m/>
    <n v="360"/>
    <n v="3206.9200000000005"/>
  </r>
  <r>
    <d v="2024-11-20T00:00:00"/>
    <x v="10"/>
    <s v="CARBURANTE"/>
    <m/>
    <n v="27.72"/>
    <n v="3179.2000000000007"/>
  </r>
  <r>
    <d v="2024-11-21T00:00:00"/>
    <x v="10"/>
    <s v="ROBOROCK"/>
    <m/>
    <n v="83"/>
    <n v="3096.2000000000007"/>
  </r>
  <r>
    <d v="2024-11-29T00:00:00"/>
    <x v="10"/>
    <s v="PRELIEVO"/>
    <m/>
    <n v="100"/>
    <n v="2996.2000000000007"/>
  </r>
  <r>
    <d v="2024-11-29T00:00:00"/>
    <x v="10"/>
    <s v="RATA PRESTITO"/>
    <m/>
    <n v="307.01"/>
    <n v="2689.1900000000005"/>
  </r>
  <r>
    <d v="2024-11-29T00:00:00"/>
    <x v="10"/>
    <s v="TARI"/>
    <m/>
    <n v="117"/>
    <n v="2572.1900000000005"/>
  </r>
  <r>
    <d v="2024-12-03T00:00:00"/>
    <x v="11"/>
    <s v="CONTO COMUNE"/>
    <m/>
    <n v="500.5"/>
    <n v="2071.6900000000005"/>
  </r>
  <r>
    <d v="2024-12-04T00:00:00"/>
    <x v="11"/>
    <s v="AUTOPOMPEI"/>
    <m/>
    <n v="1400"/>
    <n v="671.69000000000051"/>
  </r>
  <r>
    <d v="2024-12-06T00:00:00"/>
    <x v="11"/>
    <s v="MOLINI"/>
    <m/>
    <n v="17.5"/>
    <n v="654.19000000000051"/>
  </r>
  <r>
    <d v="2024-12-08T00:00:00"/>
    <x v="11"/>
    <s v="TIM"/>
    <m/>
    <n v="47.77"/>
    <n v="606.42000000000053"/>
  </r>
  <r>
    <d v="2024-12-09T00:00:00"/>
    <x v="11"/>
    <s v="CARBURANTE"/>
    <m/>
    <n v="50.03"/>
    <n v="556.39000000000055"/>
  </r>
  <r>
    <d v="2024-12-10T00:00:00"/>
    <x v="11"/>
    <s v="STIPENDIO"/>
    <n v="1936"/>
    <m/>
    <n v="2492.3900000000003"/>
  </r>
  <r>
    <d v="2024-12-12T00:00:00"/>
    <x v="11"/>
    <s v="CONTO COMUNE"/>
    <m/>
    <n v="500.5"/>
    <n v="1991.8900000000003"/>
  </r>
  <r>
    <d v="2024-12-12T00:00:00"/>
    <x v="11"/>
    <s v="CARBURANTE"/>
    <m/>
    <n v="27.27"/>
    <n v="1964.6200000000003"/>
  </r>
  <r>
    <d v="2024-12-13T00:00:00"/>
    <x v="11"/>
    <s v="PRELIEVO"/>
    <m/>
    <n v="100"/>
    <n v="1864.6200000000003"/>
  </r>
  <r>
    <d v="2024-12-15T00:00:00"/>
    <x v="11"/>
    <s v="Intimissimi"/>
    <m/>
    <n v="196.25"/>
    <n v="1668.3700000000003"/>
  </r>
  <r>
    <d v="2024-12-15T00:00:00"/>
    <x v="11"/>
    <s v="OVS"/>
    <m/>
    <n v="89.9"/>
    <n v="1578.4700000000003"/>
  </r>
  <r>
    <d v="2024-12-16T00:00:00"/>
    <x v="11"/>
    <s v="RIFER GOMME"/>
    <m/>
    <n v="40"/>
    <n v="1538.4700000000003"/>
  </r>
  <r>
    <d v="2024-12-16T00:00:00"/>
    <x v="11"/>
    <s v="RATEIZZAZIONE"/>
    <m/>
    <n v="96.12"/>
    <n v="1442.3500000000004"/>
  </r>
  <r>
    <d v="2024-12-16T00:00:00"/>
    <x v="11"/>
    <s v="COMMISSIONI"/>
    <m/>
    <n v="8.3000000000000007"/>
    <n v="1434.0500000000004"/>
  </r>
  <r>
    <d v="2024-12-16T00:00:00"/>
    <x v="11"/>
    <s v="SUSHIMI"/>
    <m/>
    <n v="57"/>
    <n v="1377.0500000000004"/>
  </r>
  <r>
    <d v="2024-12-16T00:00:00"/>
    <x v="11"/>
    <s v="CAFFE'"/>
    <m/>
    <n v="10"/>
    <n v="1367.0500000000004"/>
  </r>
  <r>
    <d v="2024-12-16T00:00:00"/>
    <x v="11"/>
    <s v="CAFFE'"/>
    <m/>
    <n v="10"/>
    <n v="1357.0500000000004"/>
  </r>
  <r>
    <d v="2024-12-16T00:00:00"/>
    <x v="11"/>
    <s v="TOGETHER PRICE"/>
    <m/>
    <n v="4.25"/>
    <n v="1352.8000000000004"/>
  </r>
  <r>
    <d v="2024-12-16T00:00:00"/>
    <x v="11"/>
    <s v="MOLINI"/>
    <m/>
    <n v="7.9"/>
    <n v="1344.9000000000003"/>
  </r>
  <r>
    <d v="2024-12-16T00:00:00"/>
    <x v="11"/>
    <s v="SUSHIMI"/>
    <m/>
    <n v="56"/>
    <n v="1288.9000000000003"/>
  </r>
  <r>
    <d v="2024-12-16T00:00:00"/>
    <x v="11"/>
    <s v="CONTO COMUNE"/>
    <m/>
    <n v="500.5"/>
    <n v="788.40000000000032"/>
  </r>
  <r>
    <d v="2024-12-20T00:00:00"/>
    <x v="11"/>
    <s v="STIPENDIO 13°"/>
    <n v="1877"/>
    <m/>
    <n v="2665.4000000000005"/>
  </r>
  <r>
    <d v="2024-12-22T00:00:00"/>
    <x v="11"/>
    <s v="ROBOROCK"/>
    <m/>
    <n v="83"/>
    <n v="2582.4000000000005"/>
  </r>
  <r>
    <d v="2024-12-24T00:00:00"/>
    <x v="11"/>
    <s v="CONTO COMUNE"/>
    <m/>
    <n v="500.5"/>
    <n v="2081.9000000000005"/>
  </r>
  <r>
    <d v="2024-12-27T00:00:00"/>
    <x v="11"/>
    <s v="CARBURANTE"/>
    <m/>
    <n v="50.01"/>
    <n v="2031.8900000000006"/>
  </r>
  <r>
    <d v="2024-12-31T00:00:00"/>
    <x v="11"/>
    <s v="CONTO COMUNE"/>
    <m/>
    <n v="500.5"/>
    <n v="1531.3900000000006"/>
  </r>
  <r>
    <d v="2024-12-31T00:00:00"/>
    <x v="11"/>
    <s v="RATA PRESTITO"/>
    <m/>
    <n v="307.01"/>
    <n v="1224.380000000000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d v="2025-01-01T00:00:00"/>
    <x v="0"/>
    <s v="SALDO"/>
    <n v="1280.72"/>
    <m/>
    <n v="1280.72"/>
  </r>
  <r>
    <d v="2025-01-07T00:00:00"/>
    <x v="0"/>
    <s v="COMMISSIONI"/>
    <m/>
    <n v="2.7"/>
    <n v="1278.02"/>
  </r>
  <r>
    <d v="2025-01-07T00:00:00"/>
    <x v="0"/>
    <s v="CARBURANTE"/>
    <m/>
    <n v="28.35"/>
    <n v="1249.67"/>
  </r>
  <r>
    <d v="2025-01-08T00:00:00"/>
    <x v="0"/>
    <s v="TIM"/>
    <m/>
    <n v="47.77"/>
    <n v="1201.9000000000001"/>
  </r>
  <r>
    <d v="2025-01-09T00:00:00"/>
    <x v="0"/>
    <s v="PRELIEVO"/>
    <m/>
    <n v="100"/>
    <n v="1101.9000000000001"/>
  </r>
  <r>
    <d v="2025-01-13T00:00:00"/>
    <x v="0"/>
    <s v="STIPENDIO"/>
    <n v="1704"/>
    <m/>
    <n v="2805.9"/>
  </r>
  <r>
    <d v="2025-01-13T00:00:00"/>
    <x v="0"/>
    <s v="CONTO COMUNE"/>
    <m/>
    <n v="1000.5"/>
    <n v="1805.4"/>
  </r>
  <r>
    <d v="2025-01-14T00:00:00"/>
    <x v="0"/>
    <s v="COMMISSIONI"/>
    <m/>
    <n v="28.17"/>
    <n v="1777.23"/>
  </r>
  <r>
    <d v="2025-01-16T00:00:00"/>
    <x v="0"/>
    <s v="CAFFE'"/>
    <m/>
    <n v="10"/>
    <n v="1767.23"/>
  </r>
  <r>
    <d v="2025-01-16T00:00:00"/>
    <x v="0"/>
    <s v="TOGETHER PRICE"/>
    <m/>
    <n v="4.25"/>
    <n v="1762.98"/>
  </r>
  <r>
    <d v="2025-01-16T00:00:00"/>
    <x v="0"/>
    <s v="AMAZON"/>
    <m/>
    <n v="49.9"/>
    <n v="1713.08"/>
  </r>
  <r>
    <d v="2025-01-16T00:00:00"/>
    <x v="0"/>
    <s v="RATEIZZAZIONE"/>
    <m/>
    <n v="104.42"/>
    <n v="1608.6599999999999"/>
  </r>
  <r>
    <d v="2025-01-16T00:00:00"/>
    <x v="0"/>
    <s v="CARBURANTE"/>
    <m/>
    <n v="50"/>
    <n v="1558.6599999999999"/>
  </r>
  <r>
    <d v="2025-01-22T00:00:00"/>
    <x v="0"/>
    <s v="ZENZERO"/>
    <m/>
    <n v="16"/>
    <n v="1542.6599999999999"/>
  </r>
  <r>
    <d v="2025-01-22T00:00:00"/>
    <x v="0"/>
    <s v="ROBOROCK"/>
    <m/>
    <n v="83"/>
    <n v="1459.6599999999999"/>
  </r>
  <r>
    <d v="2025-01-24T00:00:00"/>
    <x v="0"/>
    <s v="CONTO COMUNE"/>
    <m/>
    <n v="510"/>
    <n v="949.65999999999985"/>
  </r>
  <r>
    <d v="2025-01-31T00:00:00"/>
    <x v="0"/>
    <s v="RATA PRESTITO"/>
    <m/>
    <n v="307.01"/>
    <n v="642.64999999999986"/>
  </r>
  <r>
    <d v="2025-02-08T00:00:00"/>
    <x v="1"/>
    <s v="TIM"/>
    <m/>
    <n v="47.77"/>
    <n v="594.87999999999988"/>
  </r>
  <r>
    <d v="2025-02-08T00:00:00"/>
    <x v="1"/>
    <s v="CARBURANTE"/>
    <m/>
    <n v="27.31"/>
    <n v="567.56999999999994"/>
  </r>
  <r>
    <d v="2025-02-10T00:00:00"/>
    <x v="1"/>
    <s v="STIPENDIO"/>
    <n v="1892"/>
    <m/>
    <n v="2459.5699999999997"/>
  </r>
  <r>
    <d v="2025-02-11T00:00:00"/>
    <x v="1"/>
    <s v="CONTO COMUNE"/>
    <m/>
    <n v="500.5"/>
    <n v="1959.0699999999997"/>
  </r>
  <r>
    <d v="2025-02-16T00:00:00"/>
    <x v="1"/>
    <s v="TICKETONE"/>
    <m/>
    <n v="46.24"/>
    <n v="1912.8299999999997"/>
  </r>
  <r>
    <d v="2025-02-16T00:00:00"/>
    <x v="1"/>
    <s v="TOGETHER PRICE"/>
    <m/>
    <n v="4.25"/>
    <n v="1908.5799999999997"/>
  </r>
  <r>
    <d v="2025-02-16T00:00:00"/>
    <x v="1"/>
    <s v="CAFFE'"/>
    <m/>
    <n v="10"/>
    <n v="1898.5799999999997"/>
  </r>
  <r>
    <d v="2025-02-16T00:00:00"/>
    <x v="1"/>
    <s v="SI CON TE"/>
    <m/>
    <n v="57.04"/>
    <n v="1841.5399999999997"/>
  </r>
  <r>
    <d v="2025-02-16T00:00:00"/>
    <x v="1"/>
    <s v="AMAZON"/>
    <m/>
    <n v="35.97"/>
    <n v="1805.5699999999997"/>
  </r>
  <r>
    <d v="2025-02-16T00:00:00"/>
    <x v="1"/>
    <s v="AMAZON"/>
    <m/>
    <n v="68.430000000000007"/>
    <n v="1737.1399999999996"/>
  </r>
  <r>
    <d v="2025-02-16T00:00:00"/>
    <x v="1"/>
    <s v="OVS"/>
    <m/>
    <n v="107.94"/>
    <n v="1629.1999999999996"/>
  </r>
  <r>
    <d v="2025-02-16T00:00:00"/>
    <x v="1"/>
    <s v="MONTE URANO A DOMICILIO"/>
    <m/>
    <n v="55.5"/>
    <n v="1573.6999999999996"/>
  </r>
  <r>
    <d v="2025-02-16T00:00:00"/>
    <x v="1"/>
    <s v="CAFFE'"/>
    <m/>
    <n v="10"/>
    <n v="1563.6999999999996"/>
  </r>
  <r>
    <d v="2025-02-16T00:00:00"/>
    <x v="1"/>
    <s v="CARBURANTE"/>
    <m/>
    <n v="28.2"/>
    <n v="1535.4999999999995"/>
  </r>
  <r>
    <d v="2025-02-16T00:00:00"/>
    <x v="1"/>
    <s v="PRELIEVO"/>
    <m/>
    <n v="262"/>
    <n v="1273.4999999999995"/>
  </r>
  <r>
    <d v="2025-02-16T00:00:00"/>
    <x v="1"/>
    <s v="RATEIZZAZIONE"/>
    <m/>
    <n v="104.42"/>
    <n v="1169.0799999999995"/>
  </r>
  <r>
    <d v="2025-02-16T00:00:00"/>
    <x v="1"/>
    <s v="MOLINI"/>
    <m/>
    <n v="18.399999999999999"/>
    <n v="1150.6799999999994"/>
  </r>
  <r>
    <d v="2025-02-25T00:00:00"/>
    <x v="1"/>
    <s v="CARBURANTE"/>
    <m/>
    <n v="67"/>
    <n v="1083.6799999999994"/>
  </r>
  <r>
    <d v="2025-02-25T00:00:00"/>
    <x v="1"/>
    <s v="PRELIEVO"/>
    <m/>
    <n v="100"/>
    <n v="983.67999999999938"/>
  </r>
  <r>
    <d v="2025-02-28T00:00:00"/>
    <x v="1"/>
    <s v="RATA PRESTITO"/>
    <m/>
    <n v="307.01"/>
    <n v="676.66999999999939"/>
  </r>
  <r>
    <d v="2025-03-08T00:00:00"/>
    <x v="2"/>
    <s v="TIM"/>
    <m/>
    <n v="47.77"/>
    <n v="628.89999999999941"/>
  </r>
  <r>
    <d v="2025-03-10T00:00:00"/>
    <x v="2"/>
    <s v="STIPENDIO"/>
    <n v="1795"/>
    <m/>
    <n v="2423.8999999999996"/>
  </r>
  <r>
    <d v="2025-03-11T00:00:00"/>
    <x v="2"/>
    <s v="CONTO COMUNE"/>
    <m/>
    <n v="500.5"/>
    <n v="1923.3999999999996"/>
  </r>
  <r>
    <d v="2025-03-16T00:00:00"/>
    <x v="2"/>
    <s v="RATEIZZAZIONE"/>
    <m/>
    <n v="104.42"/>
    <n v="1818.9799999999996"/>
  </r>
  <r>
    <d v="2025-03-16T00:00:00"/>
    <x v="2"/>
    <s v="AMAZON"/>
    <m/>
    <n v="14.15"/>
    <n v="1804.8299999999995"/>
  </r>
  <r>
    <d v="2025-03-16T00:00:00"/>
    <x v="2"/>
    <s v="TICKETONE"/>
    <m/>
    <n v="46.24"/>
    <n v="1758.5899999999995"/>
  </r>
  <r>
    <d v="2025-03-16T00:00:00"/>
    <x v="2"/>
    <s v="TOGETHER PRICE"/>
    <m/>
    <n v="4.25"/>
    <n v="1754.3399999999995"/>
  </r>
  <r>
    <d v="2025-03-16T00:00:00"/>
    <x v="2"/>
    <s v="SUSHIMI"/>
    <m/>
    <n v="94"/>
    <n v="1660.3399999999995"/>
  </r>
  <r>
    <d v="2025-03-16T00:00:00"/>
    <x v="2"/>
    <s v="AMAZON"/>
    <m/>
    <n v="25.37"/>
    <n v="1634.9699999999996"/>
  </r>
  <r>
    <d v="2025-03-16T00:00:00"/>
    <x v="2"/>
    <s v="MONTE URANO A DOMICILIO"/>
    <m/>
    <n v="55.5"/>
    <n v="1579.4699999999996"/>
  </r>
  <r>
    <d v="2025-03-16T00:00:00"/>
    <x v="2"/>
    <s v="CARBURANTE"/>
    <m/>
    <n v="19.399999999999999"/>
    <n v="1560.0699999999995"/>
  </r>
  <r>
    <d v="2025-03-16T00:00:00"/>
    <x v="2"/>
    <s v="MOLINI"/>
    <m/>
    <n v="6.6"/>
    <n v="1553.4699999999996"/>
  </r>
  <r>
    <d v="2025-03-17T00:00:00"/>
    <x v="2"/>
    <s v="SAVELLI"/>
    <m/>
    <n v="268.89999999999998"/>
    <n v="1284.5699999999997"/>
  </r>
  <r>
    <d v="2025-03-17T00:00:00"/>
    <x v="2"/>
    <s v="CARBURANTE"/>
    <m/>
    <n v="50"/>
    <n v="1234.5699999999997"/>
  </r>
  <r>
    <d v="2025-03-17T00:00:00"/>
    <x v="2"/>
    <s v="PRELIEVO"/>
    <m/>
    <n v="100"/>
    <n v="1134.5699999999997"/>
  </r>
  <r>
    <d v="2025-03-31T00:00:00"/>
    <x v="2"/>
    <s v="RATA PRESTITO"/>
    <m/>
    <n v="307.01"/>
    <n v="827.55999999999972"/>
  </r>
  <r>
    <d v="2025-04-03T00:00:00"/>
    <x v="3"/>
    <s v="COMMISSIONI"/>
    <m/>
    <n v="2.7"/>
    <n v="824.85999999999967"/>
  </r>
  <r>
    <d v="2025-04-04T00:00:00"/>
    <x v="3"/>
    <s v="OASI"/>
    <m/>
    <n v="18.98"/>
    <n v="805.87999999999965"/>
  </r>
  <r>
    <d v="2025-04-05T00:00:00"/>
    <x v="3"/>
    <s v="ZENZERO"/>
    <m/>
    <n v="57.48"/>
    <n v="748.39999999999964"/>
  </r>
  <r>
    <d v="2025-04-05T00:00:00"/>
    <x v="3"/>
    <s v="FRITTO"/>
    <m/>
    <n v="22"/>
    <n v="726.39999999999964"/>
  </r>
  <r>
    <d v="2025-04-07T00:00:00"/>
    <x v="3"/>
    <s v="PRELIEVO"/>
    <m/>
    <n v="100"/>
    <n v="626.39999999999964"/>
  </r>
  <r>
    <d v="2025-04-07T00:00:00"/>
    <x v="3"/>
    <s v="MOLINI"/>
    <m/>
    <n v="3.3"/>
    <n v="623.09999999999968"/>
  </r>
  <r>
    <d v="2025-04-07T00:00:00"/>
    <x v="3"/>
    <s v="CONTO COMUNE"/>
    <m/>
    <n v="500.5"/>
    <n v="122.59999999999968"/>
  </r>
  <r>
    <d v="2025-04-08T00:00:00"/>
    <x v="3"/>
    <s v="TIM"/>
    <m/>
    <n v="47.77"/>
    <n v="74.829999999999671"/>
  </r>
  <r>
    <d v="2025-04-10T00:00:00"/>
    <x v="3"/>
    <s v="COMMISSIONI"/>
    <m/>
    <n v="15"/>
    <n v="59.829999999999671"/>
  </r>
  <r>
    <d v="2025-04-10T00:00:00"/>
    <x v="3"/>
    <s v="STIPENDIO"/>
    <n v="1893"/>
    <m/>
    <n v="1952.8299999999997"/>
  </r>
  <r>
    <d v="2025-04-16T00:00:00"/>
    <x v="3"/>
    <s v="RATEIZZAZIONE"/>
    <m/>
    <n v="104.42"/>
    <n v="1848.4099999999996"/>
  </r>
  <r>
    <d v="2025-04-16T00:00:00"/>
    <x v="3"/>
    <s v="TICKETONE"/>
    <m/>
    <n v="46.24"/>
    <n v="1802.1699999999996"/>
  </r>
  <r>
    <d v="2025-04-16T00:00:00"/>
    <x v="3"/>
    <s v="TOGETHER PRICE"/>
    <m/>
    <n v="4.25"/>
    <n v="1797.9199999999996"/>
  </r>
  <r>
    <d v="2025-04-16T00:00:00"/>
    <x v="3"/>
    <s v="MONTE URANO A DOMICILIO"/>
    <m/>
    <n v="53.5"/>
    <n v="1744.4199999999996"/>
  </r>
  <r>
    <d v="2025-04-16T00:00:00"/>
    <x v="3"/>
    <s v="D+"/>
    <m/>
    <n v="50.09"/>
    <n v="1694.3299999999997"/>
  </r>
  <r>
    <d v="2025-04-16T00:00:00"/>
    <x v="3"/>
    <s v="AMAZON"/>
    <m/>
    <n v="21"/>
    <n v="1673.3299999999997"/>
  </r>
  <r>
    <d v="2025-04-16T00:00:00"/>
    <x v="3"/>
    <s v="CAFFE'"/>
    <m/>
    <n v="10"/>
    <n v="1663.3299999999997"/>
  </r>
  <r>
    <d v="2025-04-16T00:00:00"/>
    <x v="3"/>
    <s v="ACCONTO HOTEL"/>
    <m/>
    <n v="500"/>
    <n v="1163.3299999999997"/>
  </r>
  <r>
    <d v="2025-04-16T00:00:00"/>
    <x v="3"/>
    <s v="MONTE URANO A DOMICILIO"/>
    <m/>
    <n v="56.5"/>
    <n v="1106.8299999999997"/>
  </r>
  <r>
    <d v="2025-04-16T00:00:00"/>
    <x v="3"/>
    <s v="MONTE URANO A DOMICILIO"/>
    <m/>
    <n v="38.5"/>
    <n v="1068.3299999999997"/>
  </r>
  <r>
    <d v="2025-04-18T00:00:00"/>
    <x v="3"/>
    <s v="CARBURANTE"/>
    <m/>
    <n v="65.03"/>
    <n v="1003.2999999999997"/>
  </r>
  <r>
    <d v="2025-04-27T00:00:00"/>
    <x v="3"/>
    <s v="PRELIEVO"/>
    <m/>
    <n v="50"/>
    <n v="953.29999999999973"/>
  </r>
  <r>
    <d v="2025-04-29T00:00:00"/>
    <x v="3"/>
    <s v="RIMBORSO CARTA BANCOMAT"/>
    <n v="1.02"/>
    <m/>
    <n v="954.31999999999971"/>
  </r>
  <r>
    <d v="2025-04-30T00:00:00"/>
    <x v="3"/>
    <s v="RATA PRESTITO"/>
    <m/>
    <n v="307.01"/>
    <n v="647.30999999999972"/>
  </r>
  <r>
    <d v="2025-05-03T00:00:00"/>
    <x v="4"/>
    <m/>
    <m/>
    <n v="14.3"/>
    <n v="633.00999999999976"/>
  </r>
  <r>
    <d v="2025-05-04T00:00:00"/>
    <x v="4"/>
    <s v="PRELIEVO"/>
    <m/>
    <n v="52"/>
    <n v="581.00999999999976"/>
  </r>
  <r>
    <d v="2025-05-05T00:00:00"/>
    <x v="4"/>
    <s v="CONTO COMUNE"/>
    <m/>
    <n v="500.5"/>
    <n v="80.509999999999764"/>
  </r>
  <r>
    <d v="2025-05-07T00:00:00"/>
    <x v="4"/>
    <s v="COMMISSIONI"/>
    <m/>
    <n v="12"/>
    <n v="68.509999999999764"/>
  </r>
  <r>
    <d v="2025-05-08T00:00:00"/>
    <x v="4"/>
    <s v="TIM"/>
    <m/>
    <n v="54.17"/>
    <n v="14.339999999999762"/>
  </r>
  <r>
    <d v="2025-05-12T00:00:00"/>
    <x v="4"/>
    <s v="STIPENDIO"/>
    <n v="1981"/>
    <m/>
    <n v="1995.3399999999997"/>
  </r>
  <r>
    <d v="2025-05-12T00:00:00"/>
    <x v="4"/>
    <s v="CONTO COMUNE"/>
    <m/>
    <n v="500.5"/>
    <n v="1494.8399999999997"/>
  </r>
  <r>
    <d v="2025-05-15T00:00:00"/>
    <x v="4"/>
    <s v="RATEIZZAZIONE"/>
    <m/>
    <n v="104.42"/>
    <n v="1390.4199999999996"/>
  </r>
  <r>
    <d v="2025-05-15T00:00:00"/>
    <x v="4"/>
    <s v="TOGETHER PRICE"/>
    <m/>
    <n v="4.25"/>
    <n v="1386.1699999999996"/>
  </r>
  <r>
    <d v="2025-05-15T00:00:00"/>
    <x v="4"/>
    <s v="PAGOPA"/>
    <m/>
    <n v="101.5"/>
    <n v="1284.6699999999996"/>
  </r>
  <r>
    <d v="2025-05-15T00:00:00"/>
    <x v="4"/>
    <s v="AMAZON"/>
    <m/>
    <n v="48.92"/>
    <n v="1235.7499999999995"/>
  </r>
  <r>
    <d v="2025-05-15T00:00:00"/>
    <x v="4"/>
    <s v="CARBURANTE"/>
    <m/>
    <n v="28.25"/>
    <n v="1207.4999999999995"/>
  </r>
  <r>
    <d v="2025-05-15T00:00:00"/>
    <x v="4"/>
    <s v="MONTE URANO A DOMICILIO"/>
    <m/>
    <n v="56"/>
    <n v="1151.4999999999995"/>
  </r>
  <r>
    <d v="2025-05-15T00:00:00"/>
    <x v="4"/>
    <s v="CARBURANTE"/>
    <m/>
    <n v="18.72"/>
    <n v="1132.7799999999995"/>
  </r>
  <r>
    <d v="2025-05-15T00:00:00"/>
    <x v="4"/>
    <s v="CARBURANTE"/>
    <m/>
    <n v="28"/>
    <n v="1104.7799999999995"/>
  </r>
  <r>
    <d v="2025-05-15T00:00:00"/>
    <x v="4"/>
    <s v="MONTE URANO A DOMICILIO"/>
    <m/>
    <n v="55"/>
    <n v="1049.7799999999995"/>
  </r>
  <r>
    <d v="2025-05-21T00:00:00"/>
    <x v="4"/>
    <s v="CARBURANTE"/>
    <m/>
    <n v="30.44"/>
    <n v="1019.3399999999995"/>
  </r>
  <r>
    <d v="2025-05-24T00:00:00"/>
    <x v="4"/>
    <s v="CARBURANTE"/>
    <m/>
    <n v="21.71"/>
    <n v="997.62999999999943"/>
  </r>
  <r>
    <d v="2025-05-24T00:00:00"/>
    <x v="4"/>
    <s v="PRELIEVO"/>
    <m/>
    <n v="50"/>
    <n v="947.62999999999943"/>
  </r>
  <r>
    <d v="2025-05-27T00:00:00"/>
    <x v="4"/>
    <s v="MOLINI"/>
    <m/>
    <n v="7.3"/>
    <n v="940.32999999999947"/>
  </r>
  <r>
    <d v="2025-05-28T00:00:00"/>
    <x v="4"/>
    <s v="PRELIEVO"/>
    <m/>
    <n v="50"/>
    <n v="890.32999999999947"/>
  </r>
  <r>
    <d v="2025-05-31T00:00:00"/>
    <x v="4"/>
    <s v="RATA PRESTITO"/>
    <m/>
    <n v="307.01"/>
    <n v="583.31999999999948"/>
  </r>
  <r>
    <d v="2025-05-31T00:00:00"/>
    <x v="4"/>
    <s v="ZENZERO"/>
    <m/>
    <n v="106.98"/>
    <n v="476.33999999999946"/>
  </r>
  <r>
    <d v="2025-06-01T00:00:00"/>
    <x v="5"/>
    <s v="IL PIRATA"/>
    <m/>
    <n v="46"/>
    <n v="430.33999999999946"/>
  </r>
  <r>
    <d v="2025-06-03T00:00:00"/>
    <x v="5"/>
    <s v="CONTO COMUNE"/>
    <m/>
    <n v="200.5"/>
    <n v="229.83999999999946"/>
  </r>
  <r>
    <d v="2025-06-04T00:00:00"/>
    <x v="5"/>
    <s v="CARBURANTE"/>
    <m/>
    <n v="27.27"/>
    <n v="202.56999999999945"/>
  </r>
  <r>
    <d v="2025-06-08T00:00:00"/>
    <x v="5"/>
    <s v="TIM"/>
    <m/>
    <n v="55.67"/>
    <n v="146.89999999999947"/>
  </r>
  <r>
    <d v="2025-06-08T00:00:00"/>
    <x v="5"/>
    <s v="FIASTRA"/>
    <m/>
    <n v="16.5"/>
    <n v="130.39999999999947"/>
  </r>
  <r>
    <d v="2025-06-08T00:00:00"/>
    <x v="5"/>
    <s v="PRELIEVO"/>
    <m/>
    <n v="50"/>
    <n v="80.399999999999466"/>
  </r>
  <r>
    <d v="2025-06-08T00:00:00"/>
    <x v="5"/>
    <s v="FIASTRA"/>
    <m/>
    <n v="6"/>
    <n v="74.399999999999466"/>
  </r>
  <r>
    <d v="2025-06-08T00:00:00"/>
    <x v="5"/>
    <s v="FIASTRA"/>
    <m/>
    <n v="10"/>
    <n v="64.399999999999466"/>
  </r>
  <r>
    <d v="2025-06-08T00:00:00"/>
    <x v="5"/>
    <s v="FIASTRA"/>
    <m/>
    <n v="10"/>
    <n v="54.399999999999466"/>
  </r>
  <r>
    <d v="2025-06-08T00:00:00"/>
    <x v="5"/>
    <s v="FIASTRA"/>
    <m/>
    <n v="12"/>
    <n v="42.399999999999466"/>
  </r>
  <r>
    <d v="2025-06-08T00:00:00"/>
    <x v="5"/>
    <s v="FIASTRA"/>
    <m/>
    <n v="22"/>
    <n v="20.399999999999466"/>
  </r>
  <r>
    <d v="2025-06-10T00:00:00"/>
    <x v="5"/>
    <s v="STIPENDIO"/>
    <n v="1817"/>
    <m/>
    <n v="1837.3999999999994"/>
  </r>
  <r>
    <d v="2025-06-11T00:00:00"/>
    <x v="5"/>
    <s v="CONTO COMUNE"/>
    <m/>
    <n v="510"/>
    <n v="1327.3999999999994"/>
  </r>
  <r>
    <d v="2025-06-11T00:00:00"/>
    <x v="5"/>
    <s v="MARIANI"/>
    <m/>
    <n v="70"/>
    <n v="1257.3999999999994"/>
  </r>
  <r>
    <d v="2025-06-11T00:00:00"/>
    <x v="5"/>
    <s v="ARROSTICCIAMO"/>
    <m/>
    <n v="66.5"/>
    <n v="1190.8999999999994"/>
  </r>
  <r>
    <d v="2025-06-14T00:00:00"/>
    <x v="5"/>
    <s v="CARBURANTE"/>
    <m/>
    <n v="20.6"/>
    <n v="1170.2999999999995"/>
  </r>
  <r>
    <d v="2025-06-14T00:00:00"/>
    <x v="5"/>
    <s v="ZENZERO"/>
    <m/>
    <n v="70.78"/>
    <n v="1099.5199999999995"/>
  </r>
  <r>
    <d v="2025-06-16T00:00:00"/>
    <x v="5"/>
    <s v="D+"/>
    <m/>
    <n v="60.02"/>
    <n v="1039.4999999999995"/>
  </r>
  <r>
    <d v="2025-06-16T00:00:00"/>
    <x v="5"/>
    <s v="AUTOPOMPEI"/>
    <m/>
    <n v="519"/>
    <n v="520.49999999999955"/>
  </r>
  <r>
    <d v="2025-06-16T00:00:00"/>
    <x v="5"/>
    <s v="PAYPAL"/>
    <m/>
    <n v="31.67"/>
    <n v="488.82999999999953"/>
  </r>
  <r>
    <d v="2025-06-16T00:00:00"/>
    <x v="5"/>
    <s v="RATEIZZAZIONE"/>
    <m/>
    <n v="104.42"/>
    <n v="384.40999999999951"/>
  </r>
  <r>
    <d v="2025-06-16T00:00:00"/>
    <x v="5"/>
    <s v="RATEIZZAZIONE"/>
    <m/>
    <n v="87.99"/>
    <n v="296.4199999999995"/>
  </r>
  <r>
    <d v="2025-06-16T00:00:00"/>
    <x v="5"/>
    <s v="TOGETHER PRICE"/>
    <m/>
    <n v="4.99"/>
    <n v="291.4299999999995"/>
  </r>
  <r>
    <d v="2025-06-16T00:00:00"/>
    <x v="5"/>
    <s v="DANTE E GENTUCCA"/>
    <m/>
    <n v="34.799999999999997"/>
    <n v="256.62999999999948"/>
  </r>
  <r>
    <d v="2025-06-16T00:00:00"/>
    <x v="5"/>
    <s v="COLAZIONE"/>
    <m/>
    <n v="11.5"/>
    <n v="245.12999999999948"/>
  </r>
  <r>
    <d v="2025-06-16T00:00:00"/>
    <x v="5"/>
    <s v="FUNICOLARE"/>
    <m/>
    <n v="15"/>
    <n v="230.12999999999948"/>
  </r>
  <r>
    <d v="2025-06-16T00:00:00"/>
    <x v="5"/>
    <s v="VECCHIA POSTA"/>
    <m/>
    <n v="89.5"/>
    <n v="140.62999999999948"/>
  </r>
  <r>
    <d v="2025-06-16T00:00:00"/>
    <x v="5"/>
    <s v="CARBURANTE"/>
    <m/>
    <n v="29.01"/>
    <n v="111.61999999999948"/>
  </r>
  <r>
    <d v="2025-06-16T00:00:00"/>
    <x v="5"/>
    <s v="CICLI BIZZARRI"/>
    <m/>
    <n v="44"/>
    <n v="67.619999999999479"/>
  </r>
  <r>
    <d v="2025-06-16T00:00:00"/>
    <x v="5"/>
    <s v="LA CICCIASCHERIA"/>
    <m/>
    <n v="142"/>
    <n v="-74.380000000000521"/>
  </r>
  <r>
    <d v="2025-06-16T00:00:00"/>
    <x v="5"/>
    <s v="MON AMOUR"/>
    <m/>
    <n v="20.3"/>
    <n v="-94.680000000000518"/>
  </r>
  <r>
    <d v="2025-06-16T00:00:00"/>
    <x v="5"/>
    <s v="MONTE URANO A DOMICILIO"/>
    <m/>
    <n v="39.5"/>
    <n v="-134.18000000000052"/>
  </r>
  <r>
    <d v="2025-06-16T00:00:00"/>
    <x v="5"/>
    <s v="PAYPAL"/>
    <m/>
    <n v="29.99"/>
    <n v="-164.17000000000053"/>
  </r>
  <r>
    <d v="2025-06-16T00:00:00"/>
    <x v="5"/>
    <s v="CAFFE'"/>
    <m/>
    <n v="10"/>
    <n v="-174.17000000000053"/>
  </r>
  <r>
    <d v="2025-06-16T00:00:00"/>
    <x v="5"/>
    <s v="CAFFE'"/>
    <m/>
    <n v="10"/>
    <n v="-184.17000000000053"/>
  </r>
  <r>
    <d v="2025-06-16T00:00:00"/>
    <x v="5"/>
    <s v="CARBURANTE"/>
    <m/>
    <n v="26.3"/>
    <n v="-210.47000000000054"/>
  </r>
  <r>
    <d v="2025-06-16T00:00:00"/>
    <x v="5"/>
    <s v="RATEIZZAZIONE"/>
    <m/>
    <n v="-750.5"/>
    <n v="540.02999999999952"/>
  </r>
  <r>
    <d v="2025-06-16T00:00:00"/>
    <x v="5"/>
    <s v="PRELIEVO"/>
    <m/>
    <n v="70"/>
    <n v="470.02999999999952"/>
  </r>
  <r>
    <d v="2025-06-27T00:00:00"/>
    <x v="5"/>
    <s v="PRELIEVO"/>
    <m/>
    <n v="20"/>
    <n v="450.02999999999952"/>
  </r>
  <r>
    <d v="2025-06-30T00:00:00"/>
    <x v="5"/>
    <s v="RATA PRESTITO"/>
    <m/>
    <n v="307.01"/>
    <n v="143.01999999999953"/>
  </r>
  <r>
    <d v="2025-07-03T00:00:00"/>
    <x v="6"/>
    <s v="COMMISSIONI"/>
    <m/>
    <n v="2.7"/>
    <n v="140.31999999999954"/>
  </r>
  <r>
    <d v="2025-07-08T00:00:00"/>
    <x v="6"/>
    <s v="TIM"/>
    <m/>
    <n v="55.67"/>
    <n v="84.649999999999537"/>
  </r>
  <r>
    <d v="2025-07-08T00:00:00"/>
    <x v="6"/>
    <s v="COMMISSIONI"/>
    <m/>
    <n v="17.5"/>
    <n v="67.149999999999537"/>
  </r>
  <r>
    <d v="2025-07-10T00:00:00"/>
    <x v="6"/>
    <s v="STIPENDIO"/>
    <n v="2735"/>
    <m/>
    <n v="2802.1499999999996"/>
  </r>
  <r>
    <d v="2025-07-11T00:00:00"/>
    <x v="6"/>
    <s v="CONTO COMUNE 730"/>
    <m/>
    <n v="920.5"/>
    <n v="1881.6499999999996"/>
  </r>
  <r>
    <d v="2025-07-11T00:00:00"/>
    <x v="6"/>
    <s v="CARBURANTE"/>
    <m/>
    <n v="26.82"/>
    <n v="1854.8299999999997"/>
  </r>
  <r>
    <d v="2025-07-11T00:00:00"/>
    <x v="6"/>
    <s v="PRELIEVO"/>
    <m/>
    <n v="100"/>
    <n v="1754.8299999999997"/>
  </r>
  <r>
    <d v="2025-07-15T00:00:00"/>
    <x v="6"/>
    <s v="RATEIZZAZIONE"/>
    <m/>
    <n v="87.99"/>
    <n v="1666.8399999999997"/>
  </r>
  <r>
    <d v="2025-07-15T00:00:00"/>
    <x v="6"/>
    <s v="PAYPAL"/>
    <m/>
    <n v="31.67"/>
    <n v="1635.1699999999996"/>
  </r>
  <r>
    <d v="2025-07-15T00:00:00"/>
    <x v="6"/>
    <s v="RATEIZZAZIONE"/>
    <m/>
    <n v="104.42"/>
    <n v="1530.7499999999995"/>
  </r>
  <r>
    <d v="2025-07-15T00:00:00"/>
    <x v="6"/>
    <s v="TOGETHER PRICE"/>
    <m/>
    <n v="4.99"/>
    <n v="1525.7599999999995"/>
  </r>
  <r>
    <d v="2025-07-15T00:00:00"/>
    <x v="6"/>
    <s v="D+"/>
    <m/>
    <n v="67.03"/>
    <n v="1458.7299999999996"/>
  </r>
  <r>
    <d v="2025-07-15T00:00:00"/>
    <x v="6"/>
    <s v="MONTE URANO A DOMICILIO"/>
    <m/>
    <n v="56"/>
    <n v="1402.7299999999996"/>
  </r>
  <r>
    <d v="2025-07-15T00:00:00"/>
    <x v="6"/>
    <s v="OASI"/>
    <m/>
    <n v="29.99"/>
    <n v="1372.7399999999996"/>
  </r>
  <r>
    <d v="2025-07-15T00:00:00"/>
    <x v="6"/>
    <s v="PAYPAL"/>
    <m/>
    <n v="110.94"/>
    <n v="1261.7999999999995"/>
  </r>
  <r>
    <d v="2025-07-15T00:00:00"/>
    <x v="6"/>
    <s v="MULTA"/>
    <m/>
    <n v="30.35"/>
    <n v="1231.4499999999996"/>
  </r>
  <r>
    <d v="2025-07-15T00:00:00"/>
    <x v="6"/>
    <s v="ASITE"/>
    <m/>
    <n v="60"/>
    <n v="1171.4499999999996"/>
  </r>
  <r>
    <d v="2025-07-15T00:00:00"/>
    <x v="6"/>
    <s v="MC DONALDS"/>
    <m/>
    <n v="27.6"/>
    <n v="1143.8499999999997"/>
  </r>
  <r>
    <d v="2025-07-15T00:00:00"/>
    <x v="6"/>
    <s v="MOLINI"/>
    <m/>
    <n v="13.4"/>
    <n v="1130.4499999999996"/>
  </r>
  <r>
    <d v="2025-07-15T00:00:00"/>
    <x v="6"/>
    <s v="CARBURANTE"/>
    <m/>
    <n v="25.47"/>
    <n v="1104.9799999999996"/>
  </r>
  <r>
    <d v="2025-07-15T00:00:00"/>
    <x v="6"/>
    <s v="CARBURANTE"/>
    <m/>
    <n v="24.52"/>
    <n v="1080.4599999999996"/>
  </r>
  <r>
    <d v="2025-07-15T00:00:00"/>
    <x v="6"/>
    <s v="CAFFE'"/>
    <m/>
    <n v="10"/>
    <n v="1070.4599999999996"/>
  </r>
  <r>
    <d v="2025-07-15T00:00:00"/>
    <x v="6"/>
    <s v="QUOTA ANNUA CC"/>
    <m/>
    <n v="33"/>
    <n v="1037.4599999999996"/>
  </r>
  <r>
    <d v="2025-07-22T00:00:00"/>
    <x v="6"/>
    <s v="ZENZERO"/>
    <m/>
    <n v="19.25"/>
    <n v="1018.2099999999996"/>
  </r>
  <r>
    <d v="2025-07-23T00:00:00"/>
    <x v="6"/>
    <s v="CARBURANTE"/>
    <m/>
    <n v="25.25"/>
    <n v="992.95999999999958"/>
  </r>
  <r>
    <d v="2025-07-28T00:00:00"/>
    <x v="6"/>
    <s v="CONTO COMUNE"/>
    <m/>
    <n v="500.5"/>
    <n v="492.45999999999958"/>
  </r>
  <r>
    <d v="2025-07-31T00:00:00"/>
    <x v="6"/>
    <s v="RATA PRESTITO"/>
    <m/>
    <n v="307.01"/>
    <n v="185.44999999999959"/>
  </r>
  <r>
    <d v="2025-08-07T00:00:00"/>
    <x v="7"/>
    <s v="STIPENDIO"/>
    <n v="1816"/>
    <m/>
    <n v="2001.4499999999996"/>
  </r>
  <r>
    <d v="2025-08-08T00:00:00"/>
    <x v="7"/>
    <s v="TIM"/>
    <m/>
    <n v="55.67"/>
    <n v="1945.7799999999995"/>
  </r>
  <r>
    <d v="2025-08-08T00:00:00"/>
    <x v="7"/>
    <s v="PRELIEVO"/>
    <m/>
    <n v="200"/>
    <n v="1745.7799999999995"/>
  </r>
  <r>
    <d v="2025-08-08T00:00:00"/>
    <x v="7"/>
    <s v="CARBURANTE"/>
    <m/>
    <n v="47.15"/>
    <n v="1698.6299999999994"/>
  </r>
  <r>
    <d v="2025-08-11T00:00:00"/>
    <x v="7"/>
    <s v="CONTO COMUNE"/>
    <m/>
    <n v="0"/>
    <n v="1698.6299999999994"/>
  </r>
  <r>
    <d v="2025-08-11T00:00:00"/>
    <x v="7"/>
    <s v="PRELIEVO"/>
    <m/>
    <n v="250"/>
    <n v="1448.6299999999994"/>
  </r>
  <r>
    <d v="2025-08-18T00:00:00"/>
    <x v="7"/>
    <s v="CARBURANTE"/>
    <m/>
    <n v="30.07"/>
    <n v="1418.5599999999995"/>
  </r>
  <r>
    <d v="2025-08-18T00:00:00"/>
    <x v="7"/>
    <s v="PAYPAL"/>
    <m/>
    <n v="110.94"/>
    <n v="1307.6199999999994"/>
  </r>
  <r>
    <d v="2025-08-18T00:00:00"/>
    <x v="7"/>
    <s v="RATEIZZAZIONE"/>
    <m/>
    <n v="87.99"/>
    <n v="1219.6299999999994"/>
  </r>
  <r>
    <d v="2025-08-18T00:00:00"/>
    <x v="7"/>
    <s v="RATEIZZAZIONE"/>
    <m/>
    <n v="104.42"/>
    <n v="1115.2099999999994"/>
  </r>
  <r>
    <d v="2025-08-18T00:00:00"/>
    <x v="7"/>
    <s v="TOGETHER PRICE"/>
    <m/>
    <n v="4.99"/>
    <n v="1110.2199999999993"/>
  </r>
  <r>
    <d v="2025-08-18T00:00:00"/>
    <x v="7"/>
    <s v="PAYPAL"/>
    <m/>
    <n v="31.66"/>
    <n v="1078.5599999999993"/>
  </r>
  <r>
    <d v="2025-08-18T00:00:00"/>
    <x v="7"/>
    <s v="CARBURANTE"/>
    <m/>
    <n v="46.68"/>
    <n v="1031.8799999999992"/>
  </r>
  <r>
    <d v="2025-08-18T00:00:00"/>
    <x v="7"/>
    <s v="PRELIEVO"/>
    <m/>
    <n v="104.8"/>
    <n v="927.07999999999925"/>
  </r>
  <r>
    <d v="2025-08-18T00:00:00"/>
    <x v="7"/>
    <s v="IL PIRATA"/>
    <m/>
    <n v="49"/>
    <n v="878.07999999999925"/>
  </r>
  <r>
    <d v="2025-08-18T00:00:00"/>
    <x v="7"/>
    <s v="MON AMOUR"/>
    <m/>
    <n v="17.5"/>
    <n v="860.57999999999925"/>
  </r>
  <r>
    <d v="2025-08-18T00:00:00"/>
    <x v="7"/>
    <s v="PRELIEVO"/>
    <m/>
    <n v="104.8"/>
    <n v="755.77999999999929"/>
  </r>
  <r>
    <d v="2025-08-18T00:00:00"/>
    <x v="7"/>
    <s v="SUSHIMI"/>
    <m/>
    <n v="57"/>
    <n v="698.77999999999929"/>
  </r>
  <r>
    <d v="2025-08-18T00:00:00"/>
    <x v="7"/>
    <s v="CAFFE'"/>
    <m/>
    <n v="10"/>
    <n v="688.77999999999929"/>
  </r>
  <r>
    <d v="2025-08-18T00:00:00"/>
    <x v="7"/>
    <s v="AMAZON"/>
    <m/>
    <n v="49.93"/>
    <n v="638.84999999999934"/>
  </r>
  <r>
    <d v="2025-08-18T00:00:00"/>
    <x v="7"/>
    <s v="MON AMOUR"/>
    <m/>
    <n v="22"/>
    <n v="616.84999999999934"/>
  </r>
  <r>
    <d v="2025-08-18T00:00:00"/>
    <x v="7"/>
    <s v="ARROSTICIAMO"/>
    <m/>
    <n v="65.5"/>
    <n v="551.34999999999934"/>
  </r>
  <r>
    <d v="2025-08-18T00:00:00"/>
    <x v="7"/>
    <s v="CARBURANTE"/>
    <m/>
    <n v="24.45"/>
    <n v="526.8999999999993"/>
  </r>
  <r>
    <d v="2025-08-18T00:00:00"/>
    <x v="7"/>
    <s v="RATEIZZAZIONE"/>
    <m/>
    <n v="145.67999999999998"/>
    <n v="381.21999999999935"/>
  </r>
  <r>
    <d v="2025-08-18T00:00:00"/>
    <x v="7"/>
    <s v="RATEIZZAZIONE"/>
    <m/>
    <n v="-433.44"/>
    <n v="814.6599999999994"/>
  </r>
  <r>
    <d v="2025-08-18T00:00:00"/>
    <x v="7"/>
    <s v="CARBURANTE"/>
    <m/>
    <n v="27.21"/>
    <n v="787.44999999999936"/>
  </r>
  <r>
    <d v="2025-08-19T00:00:00"/>
    <x v="7"/>
    <s v="CARBURANTE"/>
    <m/>
    <n v="42"/>
    <n v="745.44999999999936"/>
  </r>
  <r>
    <d v="2025-08-19T00:00:00"/>
    <x v="7"/>
    <s v="PRELIEVO"/>
    <m/>
    <n v="52"/>
    <n v="693.44999999999936"/>
  </r>
  <r>
    <d v="2025-08-19T00:00:00"/>
    <x v="7"/>
    <s v="BRUNICO"/>
    <m/>
    <n v="44"/>
    <n v="649.44999999999936"/>
  </r>
  <r>
    <d v="2025-08-21T00:00:00"/>
    <x v="7"/>
    <s v="KRONPLATZ"/>
    <m/>
    <n v="70"/>
    <n v="579.44999999999936"/>
  </r>
  <r>
    <d v="2025-08-21T00:00:00"/>
    <x v="7"/>
    <s v="RASUN"/>
    <m/>
    <n v="61.01"/>
    <n v="518.43999999999937"/>
  </r>
  <r>
    <d v="2025-08-24T00:00:00"/>
    <x v="7"/>
    <s v="FOTO BOB"/>
    <m/>
    <n v="11"/>
    <n v="507.43999999999937"/>
  </r>
  <r>
    <d v="2025-08-25T00:00:00"/>
    <x v="7"/>
    <s v="CARBURANTE"/>
    <m/>
    <n v="30.013999999999999"/>
    <n v="477.42599999999936"/>
  </r>
  <r>
    <d v="2025-08-29T00:00:00"/>
    <x v="7"/>
    <s v="RATA PRESTITO"/>
    <m/>
    <n v="307.01"/>
    <n v="170.41599999999937"/>
  </r>
  <r>
    <d v="2025-08-29T00:00:00"/>
    <x v="7"/>
    <s v="CARBURANTE"/>
    <m/>
    <n v="30.05"/>
    <n v="140.36599999999936"/>
  </r>
  <r>
    <d v="2025-08-31T00:00:00"/>
    <x v="7"/>
    <s v="PRELIEVO"/>
    <m/>
    <n v="72"/>
    <n v="68.36599999999936"/>
  </r>
  <r>
    <d v="2025-09-08T00:00:00"/>
    <x v="8"/>
    <s v="TIM"/>
    <m/>
    <n v="55.67"/>
    <n v="12.695999999999358"/>
  </r>
  <r>
    <d v="2025-09-10T00:00:00"/>
    <x v="8"/>
    <s v="STIPENDIO"/>
    <n v="1891"/>
    <m/>
    <n v="1903.6959999999995"/>
  </r>
  <r>
    <d v="2025-09-11T00:00:00"/>
    <x v="8"/>
    <s v="CONTO COMUNE"/>
    <m/>
    <n v="500.5"/>
    <n v="1403.1959999999995"/>
  </r>
  <r>
    <d v="2025-09-15T00:00:00"/>
    <x v="8"/>
    <s v="RATEIZZAZIONE"/>
    <m/>
    <n v="102.42"/>
    <n v="1300.7759999999994"/>
  </r>
  <r>
    <d v="2025-09-15T00:00:00"/>
    <x v="8"/>
    <s v="PAYPAL"/>
    <m/>
    <n v="110.93"/>
    <n v="1189.8459999999993"/>
  </r>
  <r>
    <d v="2025-09-15T00:00:00"/>
    <x v="8"/>
    <s v="RATEIZZAZIONE"/>
    <m/>
    <n v="87.99"/>
    <n v="1101.8559999999993"/>
  </r>
  <r>
    <d v="2025-09-15T00:00:00"/>
    <x v="8"/>
    <s v="TOGETHER PRICE"/>
    <m/>
    <n v="4.99"/>
    <n v="1096.8659999999993"/>
  </r>
  <r>
    <d v="2025-09-15T00:00:00"/>
    <x v="8"/>
    <s v="PRELIEVO"/>
    <m/>
    <n v="262"/>
    <n v="834.8659999999993"/>
  </r>
  <r>
    <d v="2025-09-15T00:00:00"/>
    <x v="8"/>
    <s v="RINNOVO GOOGLE"/>
    <m/>
    <n v="99.99"/>
    <n v="734.87599999999929"/>
  </r>
  <r>
    <d v="2025-09-15T00:00:00"/>
    <x v="8"/>
    <s v="CAFFE'"/>
    <m/>
    <n v="10"/>
    <n v="724.87599999999929"/>
  </r>
  <r>
    <d v="2025-09-15T00:00:00"/>
    <x v="8"/>
    <s v="CARBURANTE"/>
    <m/>
    <n v="21.11"/>
    <n v="703.76599999999928"/>
  </r>
  <r>
    <d v="2025-09-15T00:00:00"/>
    <x v="8"/>
    <s v="AMAZON"/>
    <m/>
    <n v="10.79"/>
    <n v="692.97599999999932"/>
  </r>
  <r>
    <d v="2025-09-15T00:00:00"/>
    <x v="8"/>
    <s v="RATEIZZAZIONE"/>
    <m/>
    <n v="-460.92"/>
    <n v="1153.8959999999993"/>
  </r>
  <r>
    <d v="2025-09-15T00:00:00"/>
    <x v="8"/>
    <s v="RATEIZZAZIONE"/>
    <m/>
    <n v="154.84"/>
    <n v="999.05599999999924"/>
  </r>
  <r>
    <d v="2025-09-15T00:00:00"/>
    <x v="8"/>
    <s v="RATEIZZAZIONE"/>
    <m/>
    <n v="145.68"/>
    <n v="853.37599999999929"/>
  </r>
  <r>
    <d v="2025-09-15T00:00:00"/>
    <x v="8"/>
    <s v="COMMISSIONI"/>
    <m/>
    <n v="9.9"/>
    <n v="843.47599999999932"/>
  </r>
  <r>
    <d v="2025-09-15T00:00:00"/>
    <x v="8"/>
    <s v="COMMISSIONI"/>
    <m/>
    <n v="2"/>
    <n v="841.47599999999932"/>
  </r>
  <r>
    <d v="2025-09-19T00:00:00"/>
    <x v="8"/>
    <s v="CARBURANTE"/>
    <m/>
    <n v="30"/>
    <n v="811.47599999999932"/>
  </r>
  <r>
    <d v="2025-09-19T00:00:00"/>
    <x v="8"/>
    <s v="PRELIEVO"/>
    <m/>
    <n v="100"/>
    <n v="711.47599999999932"/>
  </r>
  <r>
    <d v="2025-09-19T00:00:00"/>
    <x v="8"/>
    <s v="TARI"/>
    <m/>
    <n v="119.2"/>
    <n v="592.27599999999927"/>
  </r>
  <r>
    <d v="2025-09-19T00:00:00"/>
    <x v="8"/>
    <s v="CARBURANTE"/>
    <m/>
    <n v="25.56"/>
    <n v="566.71599999999933"/>
  </r>
  <r>
    <d v="2025-09-30T00:00:00"/>
    <x v="8"/>
    <s v="RATA PRESTITO"/>
    <m/>
    <n v="307.01"/>
    <n v="259.70599999999934"/>
  </r>
  <r>
    <d v="2025-10-02T00:00:00"/>
    <x v="9"/>
    <s v="MOLINI"/>
    <m/>
    <n v="7.4"/>
    <n v="252.30599999999933"/>
  </r>
  <r>
    <d v="2025-10-03T00:00:00"/>
    <x v="9"/>
    <s v="COMMISSIONI"/>
    <m/>
    <n v="2.7"/>
    <n v="249.60599999999934"/>
  </r>
  <r>
    <d v="2025-10-03T00:00:00"/>
    <x v="9"/>
    <s v="CARBURANTE"/>
    <m/>
    <n v="26.8"/>
    <n v="222.80599999999933"/>
  </r>
  <r>
    <d v="2025-10-05T00:00:00"/>
    <x v="9"/>
    <s v="CARBURANTE"/>
    <m/>
    <n v="50.19"/>
    <n v="172.61599999999933"/>
  </r>
  <r>
    <d v="2025-10-05T00:00:00"/>
    <x v="9"/>
    <s v="PRELIEVO"/>
    <m/>
    <n v="72"/>
    <n v="100.61599999999933"/>
  </r>
  <r>
    <d v="2025-10-06T00:00:00"/>
    <x v="9"/>
    <s v="PRELIEVO"/>
    <m/>
    <n v="60"/>
    <n v="40.615999999999332"/>
  </r>
  <r>
    <d v="2025-10-08T00:00:00"/>
    <x v="9"/>
    <s v="TIM"/>
    <m/>
    <n v="55.67"/>
    <n v="-15.05400000000067"/>
  </r>
  <r>
    <d v="2025-10-13T00:00:00"/>
    <x v="9"/>
    <s v="COMMISSIONI"/>
    <m/>
    <n v="15.5"/>
    <n v="-30.55400000000067"/>
  </r>
  <r>
    <d v="2025-10-13T00:00:00"/>
    <x v="9"/>
    <s v="STIPENDIO"/>
    <n v="1808"/>
    <m/>
    <n v="1777.4459999999992"/>
  </r>
  <r>
    <d v="2025-10-13T00:00:00"/>
    <x v="9"/>
    <s v="CONTO COMUNE"/>
    <m/>
    <n v="500.5"/>
    <n v="1276.9459999999992"/>
  </r>
  <r>
    <d v="2025-10-15T00:00:00"/>
    <x v="9"/>
    <s v="PIZZA"/>
    <m/>
    <n v="28"/>
    <n v="1248.9459999999992"/>
  </r>
  <r>
    <d v="2025-10-15T00:00:00"/>
    <x v="9"/>
    <s v="RATEIZZAZIONE"/>
    <m/>
    <n v="145.67999999999998"/>
    <n v="1103.2659999999992"/>
  </r>
  <r>
    <d v="2025-10-15T00:00:00"/>
    <x v="9"/>
    <s v="RATEIZZAZIONE"/>
    <m/>
    <n v="87.99"/>
    <n v="1015.2759999999992"/>
  </r>
  <r>
    <d v="2025-10-15T00:00:00"/>
    <x v="9"/>
    <s v="TOGETHER PRICE"/>
    <m/>
    <n v="4.99"/>
    <n v="1010.2859999999991"/>
  </r>
  <r>
    <d v="2025-10-15T00:00:00"/>
    <x v="9"/>
    <s v="RATEIZZAZIONE"/>
    <m/>
    <n v="154.83999999999997"/>
    <n v="855.44599999999923"/>
  </r>
  <r>
    <d v="2025-10-15T00:00:00"/>
    <x v="9"/>
    <s v="PRELIEVO"/>
    <m/>
    <n v="104.8"/>
    <n v="750.64599999999928"/>
  </r>
  <r>
    <d v="2025-10-15T00:00:00"/>
    <x v="9"/>
    <s v="ZENZERO"/>
    <m/>
    <n v="39.090000000000003"/>
    <n v="711.55599999999924"/>
  </r>
  <r>
    <d v="2025-10-15T00:00:00"/>
    <x v="9"/>
    <s v="CARBURANTE"/>
    <m/>
    <n v="26.55"/>
    <n v="685.00599999999929"/>
  </r>
  <r>
    <d v="2025-10-15T00:00:00"/>
    <x v="9"/>
    <s v="ZENZERO"/>
    <m/>
    <n v="22.5"/>
    <n v="662.50599999999929"/>
  </r>
  <r>
    <d v="2025-10-15T00:00:00"/>
    <x v="9"/>
    <s v="PRELIEVO"/>
    <m/>
    <n v="104.8"/>
    <n v="557.70599999999934"/>
  </r>
  <r>
    <d v="2025-10-15T00:00:00"/>
    <x v="9"/>
    <s v="CARBURANTE"/>
    <m/>
    <n v="19.399999999999999"/>
    <n v="538.30599999999936"/>
  </r>
  <r>
    <d v="2025-10-15T00:00:00"/>
    <x v="9"/>
    <s v="SUSHIMI"/>
    <m/>
    <n v="58.2"/>
    <n v="480.10599999999937"/>
  </r>
  <r>
    <d v="2025-10-15T00:00:00"/>
    <x v="9"/>
    <s v="SI CON TE"/>
    <m/>
    <n v="97.03"/>
    <n v="383.07599999999934"/>
  </r>
  <r>
    <d v="2025-10-15T00:00:00"/>
    <x v="9"/>
    <s v="AGORA'"/>
    <m/>
    <n v="21.5"/>
    <n v="361.57599999999934"/>
  </r>
  <r>
    <d v="2025-10-15T00:00:00"/>
    <x v="9"/>
    <s v="SUSHIMI"/>
    <m/>
    <n v="53"/>
    <n v="308.57599999999934"/>
  </r>
  <r>
    <d v="2025-10-15T00:00:00"/>
    <x v="9"/>
    <s v="CAFFE'"/>
    <m/>
    <n v="10"/>
    <n v="298.57599999999934"/>
  </r>
  <r>
    <d v="2025-10-15T00:00:00"/>
    <x v="9"/>
    <s v="RATEIZZAZIONE"/>
    <m/>
    <n v="-408.23"/>
    <n v="706.80599999999936"/>
  </r>
  <r>
    <d v="2025-10-15T00:00:00"/>
    <x v="9"/>
    <s v="RATEIZZAZIONE"/>
    <m/>
    <n v="137.28"/>
    <n v="569.52599999999939"/>
  </r>
  <r>
    <d v="2025-10-15T00:00:00"/>
    <x v="9"/>
    <s v="COMMISSIONI"/>
    <m/>
    <n v="2"/>
    <n v="567.52599999999939"/>
  </r>
  <r>
    <d v="2025-10-15T00:00:00"/>
    <x v="9"/>
    <s v="CARBURANTE"/>
    <m/>
    <n v="20"/>
    <n v="547.52599999999939"/>
  </r>
  <r>
    <d v="2025-10-17T00:00:00"/>
    <x v="9"/>
    <s v="PRELIEVO"/>
    <m/>
    <n v="100"/>
    <n v="447.52599999999939"/>
  </r>
  <r>
    <d v="2025-10-24T00:00:00"/>
    <x v="9"/>
    <s v="CARBURANTE"/>
    <m/>
    <n v="25.76"/>
    <n v="421.76599999999939"/>
  </r>
  <r>
    <d v="2025-10-31T00:00:00"/>
    <x v="9"/>
    <n v="76"/>
    <m/>
    <n v="307.01"/>
    <n v="114.7559999999994"/>
  </r>
  <r>
    <d v="2025-11-08T00:00:00"/>
    <x v="10"/>
    <s v="TIM"/>
    <m/>
    <n v="55.67"/>
    <n v="59.085999999999402"/>
  </r>
  <r>
    <d v="2025-11-10T00:00:00"/>
    <x v="10"/>
    <s v="STIPENDIO"/>
    <n v="1815"/>
    <m/>
    <n v="1874.0859999999993"/>
  </r>
  <r>
    <d v="2025-11-11T00:00:00"/>
    <x v="10"/>
    <s v="CONTO COMUNE"/>
    <m/>
    <n v="500.5"/>
    <n v="1373.5859999999993"/>
  </r>
  <r>
    <d v="2025-11-11T00:00:00"/>
    <x v="10"/>
    <s v="PRELIEVO"/>
    <m/>
    <n v="70"/>
    <n v="1303.5859999999993"/>
  </r>
  <r>
    <d v="2025-11-16T00:00:00"/>
    <x v="10"/>
    <s v="TARI"/>
    <m/>
    <n v="39.83"/>
    <n v="1263.7559999999994"/>
  </r>
  <r>
    <d v="2025-11-16T00:00:00"/>
    <x v="10"/>
    <s v="MOLINI"/>
    <m/>
    <n v="19"/>
    <n v="1244.7559999999994"/>
  </r>
  <r>
    <d v="2025-11-16T00:00:00"/>
    <x v="10"/>
    <s v="SUSHIMI"/>
    <m/>
    <n v="53"/>
    <n v="1191.7559999999994"/>
  </r>
  <r>
    <d v="2025-11-16T00:00:00"/>
    <x v="10"/>
    <s v="RATEIZZAZIONE"/>
    <m/>
    <n v="137.28"/>
    <n v="1054.4759999999994"/>
  </r>
  <r>
    <d v="2025-11-16T00:00:00"/>
    <x v="10"/>
    <s v="CRYSTAL"/>
    <m/>
    <n v="21"/>
    <n v="1033.4759999999994"/>
  </r>
  <r>
    <d v="2025-11-16T00:00:00"/>
    <x v="10"/>
    <s v="COAL"/>
    <m/>
    <n v="16.850000000000001"/>
    <n v="1016.6259999999994"/>
  </r>
  <r>
    <d v="2025-11-16T00:00:00"/>
    <x v="10"/>
    <s v="CINESI"/>
    <m/>
    <n v="12.46"/>
    <n v="1004.1659999999994"/>
  </r>
  <r>
    <d v="2025-11-16T00:00:00"/>
    <x v="10"/>
    <s v="ZENZERO"/>
    <m/>
    <n v="88.31"/>
    <n v="915.85599999999931"/>
  </r>
  <r>
    <d v="2025-11-16T00:00:00"/>
    <x v="10"/>
    <s v="CARBURANTE"/>
    <m/>
    <n v="25.54"/>
    <n v="890.31599999999935"/>
  </r>
  <r>
    <d v="2025-11-16T00:00:00"/>
    <x v="10"/>
    <s v="RATEIZZAZIONE"/>
    <m/>
    <n v="87.99"/>
    <n v="802.32599999999934"/>
  </r>
  <r>
    <d v="2025-11-16T00:00:00"/>
    <x v="10"/>
    <s v="TOGETHER PRICE"/>
    <m/>
    <n v="4.99"/>
    <n v="797.33599999999933"/>
  </r>
  <r>
    <d v="2025-11-16T00:00:00"/>
    <x v="10"/>
    <s v="RATEIZZAZIONE"/>
    <m/>
    <n v="154.83999999999997"/>
    <n v="642.49599999999941"/>
  </r>
  <r>
    <d v="2025-11-16T00:00:00"/>
    <x v="10"/>
    <s v="AMAZON"/>
    <m/>
    <n v="52.41"/>
    <n v="590.08599999999944"/>
  </r>
  <r>
    <d v="2025-11-16T00:00:00"/>
    <x v="10"/>
    <s v="LINEAR"/>
    <m/>
    <n v="31.63"/>
    <n v="558.45599999999945"/>
  </r>
  <r>
    <d v="2025-11-16T00:00:00"/>
    <x v="10"/>
    <s v="CEREALIA"/>
    <m/>
    <n v="34"/>
    <n v="524.45599999999945"/>
  </r>
  <r>
    <d v="2025-11-16T00:00:00"/>
    <x v="10"/>
    <s v="OASI"/>
    <m/>
    <n v="99.23"/>
    <n v="425.22599999999943"/>
  </r>
  <r>
    <d v="2025-11-16T00:00:00"/>
    <x v="10"/>
    <s v="INTIMISSIMI"/>
    <m/>
    <n v="127.95"/>
    <n v="297.27599999999944"/>
  </r>
  <r>
    <d v="2025-11-16T00:00:00"/>
    <x v="10"/>
    <s v="RATEIZZAZIONE"/>
    <m/>
    <n v="-420.90000000000003"/>
    <n v="718.17599999999948"/>
  </r>
  <r>
    <d v="2025-11-16T00:00:00"/>
    <x v="10"/>
    <s v="RATEIZZAZIONE"/>
    <m/>
    <n v="141.5"/>
    <n v="576.67599999999948"/>
  </r>
  <r>
    <d v="2025-11-16T00:00:00"/>
    <x v="10"/>
    <s v="ORIGINAL MARINES"/>
    <m/>
    <n v="22.01"/>
    <n v="554.66599999999949"/>
  </r>
  <r>
    <d v="2025-11-16T00:00:00"/>
    <x v="10"/>
    <s v="D+"/>
    <m/>
    <n v="10.210000000000001"/>
    <n v="544.45599999999945"/>
  </r>
  <r>
    <d v="2025-11-16T00:00:00"/>
    <x v="10"/>
    <s v="POZZACCI"/>
    <m/>
    <n v="30"/>
    <n v="514.45599999999945"/>
  </r>
  <r>
    <d v="2025-11-16T00:00:00"/>
    <x v="10"/>
    <s v="COMMISSIONI"/>
    <m/>
    <n v="2"/>
    <n v="512.45599999999945"/>
  </r>
  <r>
    <d v="2025-11-21T00:00:00"/>
    <x v="10"/>
    <s v="PAYPAL"/>
    <m/>
    <n v="51.82"/>
    <n v="460.63599999999946"/>
  </r>
  <r>
    <d v="2025-11-21T00:00:00"/>
    <x v="10"/>
    <s v="PRELIEVO"/>
    <m/>
    <n v="152"/>
    <n v="308.63599999999946"/>
  </r>
  <r>
    <d v="2025-11-30T00:00:00"/>
    <x v="10"/>
    <s v="RATA PRESTITO"/>
    <m/>
    <n v="307.73"/>
    <n v="0.90599999999943748"/>
  </r>
  <r>
    <d v="2025-12-01T00:00:00"/>
    <x v="11"/>
    <s v="CARBURANTE"/>
    <m/>
    <n v="26.97"/>
    <n v="-26.064000000000561"/>
  </r>
  <r>
    <d v="2025-12-03T00:00:00"/>
    <x v="11"/>
    <s v="PAYPAL"/>
    <m/>
    <n v="76.77"/>
    <n v="-102.83400000000056"/>
  </r>
  <r>
    <d v="2025-12-08T00:00:00"/>
    <x v="11"/>
    <s v="TIM"/>
    <m/>
    <n v="55.67"/>
    <n v="-158.50400000000056"/>
  </r>
  <r>
    <d v="2025-12-11T00:00:00"/>
    <x v="11"/>
    <s v="SAVELLI"/>
    <m/>
    <n v="268.89999999999998"/>
    <n v="-427.40400000000056"/>
  </r>
  <r>
    <d v="2025-12-11T00:00:00"/>
    <x v="11"/>
    <s v="STIPENDIO"/>
    <n v="2025"/>
    <m/>
    <n v="1597.5959999999995"/>
  </r>
  <r>
    <d v="2025-12-11T00:00:00"/>
    <x v="11"/>
    <s v="CONTO COMUNE"/>
    <m/>
    <n v="500.5"/>
    <n v="1097.0959999999995"/>
  </r>
  <r>
    <d v="2025-12-11T00:00:00"/>
    <x v="11"/>
    <s v="CARBURANTE"/>
    <m/>
    <n v="46.5"/>
    <n v="1050.5959999999995"/>
  </r>
  <r>
    <d v="2025-12-13T00:00:00"/>
    <x v="11"/>
    <s v="PRELIEVO"/>
    <m/>
    <n v="62"/>
    <n v="988.59599999999955"/>
  </r>
  <r>
    <d v="2025-12-15T00:00:00"/>
    <x v="11"/>
    <s v="TARI"/>
    <m/>
    <n v="118.5"/>
    <n v="870.09599999999955"/>
  </r>
  <r>
    <d v="2025-12-15T00:00:00"/>
    <x v="11"/>
    <s v="RATEIZZAZIONE"/>
    <m/>
    <n v="137.28"/>
    <n v="732.81599999999958"/>
  </r>
  <r>
    <d v="2025-12-15T00:00:00"/>
    <x v="11"/>
    <s v="RATEIZZAZIONE"/>
    <m/>
    <n v="141.5"/>
    <n v="591.31599999999958"/>
  </r>
  <r>
    <d v="2025-12-15T00:00:00"/>
    <x v="11"/>
    <s v="TARI"/>
    <m/>
    <n v="39.83"/>
    <n v="551.48599999999954"/>
  </r>
  <r>
    <d v="2025-12-15T00:00:00"/>
    <x v="11"/>
    <s v="LINEAR"/>
    <m/>
    <n v="31.63"/>
    <n v="519.85599999999954"/>
  </r>
  <r>
    <d v="2025-12-15T00:00:00"/>
    <x v="11"/>
    <s v="RATEIZZAZIONE"/>
    <m/>
    <n v="87.99"/>
    <n v="431.86599999999953"/>
  </r>
  <r>
    <d v="2025-12-15T00:00:00"/>
    <x v="11"/>
    <s v="TOGETHER PRICE"/>
    <m/>
    <n v="4.99"/>
    <n v="426.87599999999952"/>
  </r>
  <r>
    <d v="2025-12-15T00:00:00"/>
    <x v="11"/>
    <s v="LA FESTA DEI SAPORI"/>
    <m/>
    <n v="16"/>
    <n v="410.87599999999952"/>
  </r>
  <r>
    <d v="2025-12-15T00:00:00"/>
    <x v="11"/>
    <s v="CARBURANTE"/>
    <m/>
    <n v="40.29"/>
    <n v="370.5859999999995"/>
  </r>
  <r>
    <d v="2025-12-15T00:00:00"/>
    <x v="11"/>
    <s v="OASI"/>
    <m/>
    <n v="23.49"/>
    <n v="347.09599999999949"/>
  </r>
  <r>
    <d v="2025-12-15T00:00:00"/>
    <x v="11"/>
    <s v="LA BRIOSA"/>
    <m/>
    <n v="26.5"/>
    <n v="320.59599999999949"/>
  </r>
  <r>
    <d v="2025-12-15T00:00:00"/>
    <x v="11"/>
    <s v="AMAZON"/>
    <m/>
    <n v="83.57"/>
    <n v="237.0259999999995"/>
  </r>
  <r>
    <d v="2025-12-15T00:00:00"/>
    <x v="11"/>
    <s v="CAFFE'"/>
    <m/>
    <n v="10"/>
    <n v="227.0259999999995"/>
  </r>
  <r>
    <d v="2025-12-15T00:00:00"/>
    <x v="11"/>
    <s v="ASITE"/>
    <m/>
    <n v="200"/>
    <n v="27.025999999999499"/>
  </r>
  <r>
    <d v="2025-12-15T00:00:00"/>
    <x v="11"/>
    <s v="MONTE URANO A DOMICILIO"/>
    <m/>
    <n v="55"/>
    <n v="-27.974000000000501"/>
  </r>
  <r>
    <d v="2025-12-15T00:00:00"/>
    <x v="11"/>
    <s v="CARBURANTE"/>
    <m/>
    <n v="22.68"/>
    <n v="-50.654000000000501"/>
  </r>
  <r>
    <d v="2025-12-15T00:00:00"/>
    <x v="11"/>
    <s v="MOLINI"/>
    <m/>
    <n v="11.5"/>
    <n v="-62.154000000000501"/>
  </r>
  <r>
    <d v="2025-12-15T00:00:00"/>
    <x v="11"/>
    <s v="RATEIZZAZIONE"/>
    <m/>
    <n v="-457.07"/>
    <n v="394.91599999999949"/>
  </r>
  <r>
    <d v="2025-12-15T00:00:00"/>
    <x v="11"/>
    <s v="RATEIZZAZIONE"/>
    <m/>
    <n v="153.56"/>
    <n v="241.35599999999948"/>
  </r>
  <r>
    <d v="2025-12-15T00:00:00"/>
    <x v="11"/>
    <s v="COMMISSIONI"/>
    <m/>
    <n v="2"/>
    <n v="239.35599999999948"/>
  </r>
  <r>
    <d v="2025-12-19T00:00:00"/>
    <x v="11"/>
    <s v="STIPENDIO 13°"/>
    <n v="1877"/>
    <m/>
    <n v="2116.3559999999993"/>
  </r>
  <r>
    <d v="2025-12-19T00:00:00"/>
    <x v="11"/>
    <s v="ZENZERO"/>
    <m/>
    <n v="49.49"/>
    <n v="2066.8659999999995"/>
  </r>
  <r>
    <d v="2025-12-19T00:00:00"/>
    <x v="11"/>
    <s v="CARBURANTE"/>
    <m/>
    <n v="26.58"/>
    <n v="2040.2859999999996"/>
  </r>
  <r>
    <d v="2025-12-21T00:00:00"/>
    <x v="11"/>
    <s v="PAYPAL"/>
    <m/>
    <n v="51.83"/>
    <n v="1988.4559999999997"/>
  </r>
  <r>
    <d v="2025-12-22T00:00:00"/>
    <x v="11"/>
    <s v="CONTO COMUNE"/>
    <m/>
    <n v="500.5"/>
    <n v="1487.9559999999997"/>
  </r>
  <r>
    <d v="2025-12-23T00:00:00"/>
    <x v="11"/>
    <s v="PRELIEVO"/>
    <m/>
    <n v="80"/>
    <n v="1407.9559999999997"/>
  </r>
  <r>
    <d v="2025-12-24T00:00:00"/>
    <x v="11"/>
    <s v="AMAZON"/>
    <m/>
    <n v="71"/>
    <n v="1336.9559999999997"/>
  </r>
  <r>
    <d v="2025-12-24T00:00:00"/>
    <x v="11"/>
    <s v="AMAZON"/>
    <m/>
    <n v="12.99"/>
    <n v="1323.9659999999997"/>
  </r>
  <r>
    <d v="2025-12-24T00:00:00"/>
    <x v="11"/>
    <s v="AMAZON"/>
    <m/>
    <n v="9.9"/>
    <n v="1314.0659999999996"/>
  </r>
  <r>
    <d v="2025-12-31T00:00:00"/>
    <x v="11"/>
    <s v="RIFER GOMME"/>
    <m/>
    <n v="548.76"/>
    <n v="765.30599999999959"/>
  </r>
  <r>
    <d v="2025-12-31T00:00:00"/>
    <x v="11"/>
    <s v="CARBURANTE"/>
    <m/>
    <n v="25.58"/>
    <n v="739.72599999999954"/>
  </r>
  <r>
    <d v="2025-12-31T00:00:00"/>
    <x v="11"/>
    <s v="RATA PRESTITO"/>
    <m/>
    <n v="307.01"/>
    <n v="432.71599999999955"/>
  </r>
  <r>
    <d v="2025-12-31T00:00:00"/>
    <x v="11"/>
    <s v="PRELIEVO"/>
    <m/>
    <n v="100"/>
    <n v="332.71599999999955"/>
  </r>
  <r>
    <d v="2025-12-31T00:00:00"/>
    <x v="11"/>
    <s v="PEDAGGI"/>
    <m/>
    <n v="2.6"/>
    <n v="330.11599999999953"/>
  </r>
  <r>
    <d v="2025-12-31T00:00:00"/>
    <x v="11"/>
    <s v="CARBURANTE"/>
    <m/>
    <n v="25.57"/>
    <n v="304.54599999999954"/>
  </r>
  <r>
    <d v="2026-01-02T00:00:00"/>
    <x v="12"/>
    <s v="CARBURANTE"/>
    <m/>
    <n v="30.03"/>
    <n v="274.51599999999951"/>
  </r>
  <r>
    <d v="2026-01-03T00:00:00"/>
    <x v="12"/>
    <s v="PAYPAL"/>
    <m/>
    <n v="76.77"/>
    <n v="197.74599999999953"/>
  </r>
  <r>
    <d v="2026-01-16T00:00:00"/>
    <x v="12"/>
    <s v="RATEIZZAZIONE"/>
    <m/>
    <n v="153.56"/>
    <n v="44.185999999999524"/>
  </r>
  <r>
    <d v="2026-01-16T00:00:00"/>
    <x v="12"/>
    <s v="RATEIZZAZIONE"/>
    <m/>
    <n v="141.5"/>
    <n v="-97.314000000000476"/>
  </r>
  <r>
    <d v="2026-01-16T00:00:00"/>
    <x v="12"/>
    <s v="TARI"/>
    <m/>
    <n v="39.83"/>
    <n v="-137.14400000000046"/>
  </r>
  <r>
    <d v="2026-01-16T00:00:00"/>
    <x v="12"/>
    <s v="LINEAR"/>
    <m/>
    <n v="31.63"/>
    <n v="-168.77400000000046"/>
  </r>
  <r>
    <d v="2026-01-16T00:00:00"/>
    <x v="12"/>
    <s v="RATEIZZAZIONE"/>
    <m/>
    <n v="87.99"/>
    <n v="-256.76400000000046"/>
  </r>
  <r>
    <d v="2026-01-16T00:00:00"/>
    <x v="12"/>
    <s v="D+"/>
    <m/>
    <n v="43.95"/>
    <n v="-300.71400000000045"/>
  </r>
  <r>
    <d v="2026-01-16T00:00:00"/>
    <x v="12"/>
    <s v="PRELIEVO"/>
    <m/>
    <n v="100"/>
    <n v="-400.71400000000045"/>
  </r>
  <r>
    <d v="2026-01-16T00:00:00"/>
    <x v="12"/>
    <s v="BONTA' IN TAVOLA"/>
    <m/>
    <n v="21.85"/>
    <n v="-422.56400000000048"/>
  </r>
  <r>
    <d v="2026-01-16T00:00:00"/>
    <x v="12"/>
    <s v="ZENZERO"/>
    <m/>
    <n v="20.93"/>
    <n v="-443.49400000000048"/>
  </r>
  <r>
    <d v="2026-01-16T00:00:00"/>
    <x v="12"/>
    <s v="SHIO OMAKASE"/>
    <m/>
    <n v="231"/>
    <n v="-674.49400000000048"/>
  </r>
  <r>
    <d v="2026-01-16T00:00:00"/>
    <x v="12"/>
    <s v="AMAZON"/>
    <m/>
    <n v="68.849999999999994"/>
    <n v="-743.34400000000051"/>
  </r>
  <r>
    <d v="2026-01-21T00:00:00"/>
    <x v="12"/>
    <s v="PAYPAL"/>
    <m/>
    <n v="51.83"/>
    <n v="-795.17400000000055"/>
  </r>
  <r>
    <d v="2026-02-03T00:00:00"/>
    <x v="13"/>
    <s v="PAYPAL"/>
    <m/>
    <n v="76.77"/>
    <n v="-871.94400000000053"/>
  </r>
  <r>
    <d v="2026-02-16T00:00:00"/>
    <x v="13"/>
    <s v="RATEIZZAZIONE"/>
    <m/>
    <n v="153.56"/>
    <n v="-1025.5040000000006"/>
  </r>
  <r>
    <d v="2026-02-16T00:00:00"/>
    <x v="13"/>
    <s v="LINEAR"/>
    <m/>
    <n v="31.63"/>
    <n v="-1057.1340000000007"/>
  </r>
  <r>
    <d v="2026-02-16T00:00:00"/>
    <x v="13"/>
    <s v="RATEIZZAZIONE"/>
    <m/>
    <n v="87.99"/>
    <n v="-1145.1240000000007"/>
  </r>
  <r>
    <d v="2026-02-21T00:00:00"/>
    <x v="13"/>
    <s v="PAYPAL"/>
    <m/>
    <n v="51.83"/>
    <n v="-1196.9540000000006"/>
  </r>
  <r>
    <d v="2026-03-03T00:00:00"/>
    <x v="14"/>
    <s v="PAYPAL"/>
    <m/>
    <n v="76.77"/>
    <n v="-1273.7240000000006"/>
  </r>
  <r>
    <d v="2026-03-16T00:00:00"/>
    <x v="14"/>
    <s v="LINEAR"/>
    <m/>
    <n v="31.63"/>
    <n v="-1305.3540000000007"/>
  </r>
  <r>
    <d v="2026-03-21T00:00:00"/>
    <x v="14"/>
    <s v="PAYPAL"/>
    <m/>
    <n v="51.83"/>
    <n v="-1357.1840000000007"/>
  </r>
  <r>
    <d v="2026-04-03T00:00:00"/>
    <x v="15"/>
    <s v="PAYPAL"/>
    <m/>
    <n v="76.77"/>
    <n v="-1433.9540000000006"/>
  </r>
  <r>
    <d v="2026-04-16T00:00:00"/>
    <x v="15"/>
    <s v="LINEAR"/>
    <m/>
    <n v="31.63"/>
    <n v="-1465.5840000000007"/>
  </r>
  <r>
    <d v="2026-04-21T00:00:00"/>
    <x v="15"/>
    <s v="PAYPAL"/>
    <m/>
    <n v="51.84"/>
    <n v="-1517.4240000000007"/>
  </r>
  <r>
    <d v="2026-05-03T00:00:00"/>
    <x v="16"/>
    <s v="PAYPAL"/>
    <m/>
    <n v="76.77"/>
    <n v="-1594.1940000000006"/>
  </r>
  <r>
    <d v="2026-05-16T00:00:00"/>
    <x v="16"/>
    <s v="LINEAR"/>
    <m/>
    <n v="31.63"/>
    <n v="-1625.8240000000008"/>
  </r>
  <r>
    <d v="2026-06-03T00:00:00"/>
    <x v="17"/>
    <s v="PAYPAL"/>
    <m/>
    <n v="76.77"/>
    <n v="-1702.5940000000007"/>
  </r>
  <r>
    <d v="2026-06-16T00:00:00"/>
    <x v="17"/>
    <s v="LINEAR"/>
    <m/>
    <n v="31.63"/>
    <n v="-1734.2240000000008"/>
  </r>
  <r>
    <d v="2026-07-03T00:00:00"/>
    <x v="18"/>
    <s v="PAYPAL"/>
    <m/>
    <n v="76.77"/>
    <n v="-1810.9940000000008"/>
  </r>
  <r>
    <d v="2026-07-16T00:00:00"/>
    <x v="18"/>
    <s v="LINEAR"/>
    <m/>
    <n v="31.63"/>
    <n v="-1842.6240000000009"/>
  </r>
  <r>
    <d v="2026-08-03T00:00:00"/>
    <x v="19"/>
    <s v="PAYPAL"/>
    <m/>
    <n v="76.77"/>
    <n v="-1919.3940000000009"/>
  </r>
  <r>
    <d v="2026-08-16T00:00:00"/>
    <x v="19"/>
    <s v="LINEAR"/>
    <m/>
    <n v="31.63"/>
    <n v="-1951.024000000001"/>
  </r>
  <r>
    <d v="2026-09-03T00:00:00"/>
    <x v="20"/>
    <s v="PAYPAL"/>
    <m/>
    <n v="76.77"/>
    <n v="-2027.794000000001"/>
  </r>
  <r>
    <d v="2026-09-16T00:00:00"/>
    <x v="20"/>
    <s v="LINEAR"/>
    <m/>
    <n v="31.63"/>
    <n v="-2059.4240000000009"/>
  </r>
  <r>
    <d v="2026-10-03T00:00:00"/>
    <x v="21"/>
    <s v="PAYPAL"/>
    <m/>
    <n v="76.77"/>
    <n v="-2136.1940000000009"/>
  </r>
  <r>
    <d v="2026-10-16T00:00:00"/>
    <x v="21"/>
    <s v="LINEAR"/>
    <m/>
    <n v="31.63"/>
    <n v="-2167.824000000001"/>
  </r>
  <r>
    <d v="2026-11-03T00:00:00"/>
    <x v="22"/>
    <s v="PAYPAL"/>
    <m/>
    <n v="76.8"/>
    <n v="-2244.6240000000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1911F-E3CC-4F8A-ADD9-AB5D201C46B7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333:J346" firstHeaderRow="0" firstDataRow="1" firstDataCol="1"/>
  <pivotFields count="6">
    <pivotField numFmtId="164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t="default"/>
      </items>
    </pivotField>
    <pivotField showAll="0"/>
    <pivotField dataField="1" showAll="0"/>
    <pivotField dataField="1" showAll="0"/>
    <pivotField numFmtId="4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ENTRATE" fld="3" baseField="1" baseItem="0" numFmtId="44"/>
    <dataField name="Somma di USCITE" fld="4" baseField="1" baseItem="0" numFmtId="44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2E936-FF76-4BFA-9AEE-8890404500AA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264:J277" firstHeaderRow="0" firstDataRow="1" firstDataCol="1"/>
  <pivotFields count="6">
    <pivotField numFmtId="164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dataField="1" showAll="0"/>
    <pivotField dataField="1" showAll="0"/>
    <pivotField numFmtId="4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ENTRATE" fld="3" baseField="1" baseItem="0" numFmtId="165"/>
    <dataField name="Somma di USCITE" fld="4" baseField="1" baseItem="0" numFmtId="165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8B1D6-06BE-4EDA-9C3D-4377C86EE859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L239:Z321" firstHeaderRow="1" firstDataRow="2" firstDataCol="1"/>
  <pivotFields count="6">
    <pivotField numFmtId="164"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82">
        <item x="11"/>
        <item x="21"/>
        <item x="13"/>
        <item x="79"/>
        <item x="20"/>
        <item x="2"/>
        <item x="19"/>
        <item x="5"/>
        <item x="10"/>
        <item x="15"/>
        <item x="16"/>
        <item x="23"/>
        <item x="3"/>
        <item x="12"/>
        <item x="22"/>
        <item x="18"/>
        <item x="4"/>
        <item x="7"/>
        <item x="1"/>
        <item x="17"/>
        <item x="0"/>
        <item x="6"/>
        <item x="9"/>
        <item x="71"/>
        <item x="8"/>
        <item x="14"/>
        <item x="24"/>
        <item x="25"/>
        <item x="30"/>
        <item x="31"/>
        <item x="32"/>
        <item x="29"/>
        <item x="33"/>
        <item x="26"/>
        <item x="34"/>
        <item x="35"/>
        <item x="27"/>
        <item x="28"/>
        <item x="37"/>
        <item x="38"/>
        <item x="39"/>
        <item x="40"/>
        <item x="41"/>
        <item x="42"/>
        <item x="36"/>
        <item x="46"/>
        <item x="47"/>
        <item x="43"/>
        <item x="44"/>
        <item x="45"/>
        <item x="48"/>
        <item x="49"/>
        <item x="50"/>
        <item x="51"/>
        <item x="52"/>
        <item x="53"/>
        <item x="54"/>
        <item x="55"/>
        <item x="56"/>
        <item x="57"/>
        <item x="59"/>
        <item x="65"/>
        <item x="67"/>
        <item x="58"/>
        <item x="63"/>
        <item m="1" x="80"/>
        <item x="64"/>
        <item x="60"/>
        <item x="61"/>
        <item x="62"/>
        <item x="66"/>
        <item x="68"/>
        <item x="72"/>
        <item x="69"/>
        <item x="70"/>
        <item x="73"/>
        <item x="78"/>
        <item x="74"/>
        <item x="75"/>
        <item x="76"/>
        <item x="77"/>
        <item t="default"/>
      </items>
    </pivotField>
    <pivotField showAll="0"/>
    <pivotField dataField="1" showAll="0"/>
    <pivotField numFmtId="44" showAll="0"/>
  </pivotFields>
  <rowFields count="1">
    <field x="2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ma di USCITE" fld="4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A1780-4975-4F48-8267-73473C93C830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239:J253" firstHeaderRow="0" firstDataRow="1" firstDataCol="1"/>
  <pivotFields count="6">
    <pivotField numFmtId="164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dataField="1" showAll="0"/>
    <pivotField numFmtId="44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ENTRATE" fld="3" baseField="1" baseItem="0" numFmtId="165"/>
    <dataField name="Somma di USCITE" fld="4" baseField="1" baseItem="0" numFmtId="165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2DC09-662F-487A-B4CA-86518035C79B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40:J45" firstHeaderRow="0" firstDataRow="1" firstDataCol="1"/>
  <pivotFields count="6">
    <pivotField numFmtId="164"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dataField="1" showAll="0"/>
    <pivotField dataField="1" showAll="0"/>
    <pivotField numFmtId="4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ENTRATE" fld="3" baseField="1" baseItem="0" numFmtId="165"/>
    <dataField name="Somma di USCITE" fld="4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C8921B-51C5-4F88-9C2A-711FDFA75DD8}" name="Tabella3" displayName="Tabella3" ref="A1:F371" totalsRowCount="1" headerRowDxfId="71" dataDxfId="69" headerRowBorderDxfId="70" tableBorderDxfId="68" totalsRowBorderDxfId="67" headerRowCellStyle="Valuta">
  <autoFilter ref="A1:F370" xr:uid="{E8C8921B-51C5-4F88-9C2A-711FDFA75DD8}"/>
  <sortState xmlns:xlrd2="http://schemas.microsoft.com/office/spreadsheetml/2017/richdata2" ref="A2:F370">
    <sortCondition ref="A1:A370"/>
  </sortState>
  <tableColumns count="6">
    <tableColumn id="1" xr3:uid="{062F4CA0-E52D-47A9-8A2D-5C92F3B49C56}" name="DATA" totalsRowLabel="Totale" dataDxfId="66" totalsRowDxfId="65"/>
    <tableColumn id="2" xr3:uid="{D8054CE5-5252-4772-B569-B330C6365F58}" name="MESE" dataDxfId="64" totalsRowDxfId="63">
      <calculatedColumnFormula>TEXT(Tabella3[[#This Row],[DATA]],"mmmm")&amp;" "&amp;TEXT(Tabella3[[#This Row],[DATA]],"aaaa")</calculatedColumnFormula>
    </tableColumn>
    <tableColumn id="3" xr3:uid="{90E86BC4-73F2-4052-8DF4-F863650C9208}" name="CAUSALE" dataDxfId="62" totalsRowDxfId="61"/>
    <tableColumn id="4" xr3:uid="{FAA98370-7992-4F53-AD93-060C22F9C50F}" name="ENTRATE" totalsRowFunction="sum" dataDxfId="60" totalsRowDxfId="59" dataCellStyle="Valuta"/>
    <tableColumn id="5" xr3:uid="{E2372F02-00D4-4450-9971-84AF13EB7AB1}" name="USCITE" totalsRowFunction="sum" dataDxfId="58" totalsRowDxfId="57" dataCellStyle="Valuta"/>
    <tableColumn id="6" xr3:uid="{CDF546CB-F63E-4487-8D6D-A2782AC3E7C4}" name="SALDO" totalsRowFunction="custom" dataDxfId="56" totalsRowDxfId="55" dataCellStyle="Valuta">
      <totalsRowFormula>Tabella3[[#Totals],[ENTRATE]]-Tabella3[[#Totals],[USCITE]]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43EA2-BE32-4576-B9A9-733824D28546}" name="Budget233" displayName="Budget233" ref="A1:F285" totalsRowCount="1" headerRowDxfId="50" dataDxfId="48" headerRowBorderDxfId="49" tableBorderDxfId="47" totalsRowBorderDxfId="46" headerRowCellStyle="Valuta" dataCellStyle="Valuta">
  <autoFilter ref="A1:F284" xr:uid="{F4A43EA2-BE32-4576-B9A9-733824D28546}"/>
  <sortState xmlns:xlrd2="http://schemas.microsoft.com/office/spreadsheetml/2017/richdata2" ref="A2:F284">
    <sortCondition ref="A1:A284"/>
  </sortState>
  <tableColumns count="6">
    <tableColumn id="1" xr3:uid="{A1B9A8BA-0EA6-4B1A-8495-53E639FE3843}" name="DATA" totalsRowLabel="Totale" dataDxfId="45" totalsRowDxfId="44"/>
    <tableColumn id="2" xr3:uid="{DDBE128F-FA82-45FF-95A0-C81E85034DC2}" name="MESE" dataDxfId="43" totalsRowDxfId="42">
      <calculatedColumnFormula>TEXT(Budget233[[#This Row],[DATA]],"mmmm")&amp;" "&amp;TEXT(Budget233[[#This Row],[DATA]],"aaaa")</calculatedColumnFormula>
    </tableColumn>
    <tableColumn id="3" xr3:uid="{8EFEFBA6-A963-4E34-B6C8-F0B2C81230D8}" name="CAUSALE" dataDxfId="41" totalsRowDxfId="40"/>
    <tableColumn id="4" xr3:uid="{F61E1A80-E4CD-42F7-BDC7-1952A9BC86AF}" name="ENTRATE" totalsRowFunction="sum" dataDxfId="39" totalsRowDxfId="38" dataCellStyle="Valuta"/>
    <tableColumn id="5" xr3:uid="{3238D7C9-B6FA-46CE-AB98-6A6BBAC7DE69}" name="USCITE" totalsRowFunction="sum" dataDxfId="37" totalsRowDxfId="36" dataCellStyle="Valuta"/>
    <tableColumn id="6" xr3:uid="{14ABB1AC-29FA-440D-8F85-6401D1DE9A3B}" name="SALDO" totalsRowFunction="custom" dataDxfId="35" totalsRowDxfId="34" dataCellStyle="Valuta">
      <calculatedColumnFormula>F1+Budget22[[#This Row],[ENTRATE]]-Budget22[[#This Row],[USCITE]]</calculatedColumnFormula>
      <totalsRowFormula>Budget233[[#Totals],[ENTRATE]]-Budget233[[#Totals],[USCITE]]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F9A80-8B01-4D0E-82E5-BF8DD141C977}" name="Budget23" displayName="Budget23" ref="A1:F285" totalsRowCount="1" headerRowDxfId="29" dataDxfId="27" headerRowBorderDxfId="28" tableBorderDxfId="26" totalsRowBorderDxfId="25" headerRowCellStyle="Valuta" dataCellStyle="Valuta">
  <autoFilter ref="A1:F284" xr:uid="{6D8F9A80-8B01-4D0E-82E5-BF8DD141C977}"/>
  <sortState xmlns:xlrd2="http://schemas.microsoft.com/office/spreadsheetml/2017/richdata2" ref="A2:F280">
    <sortCondition ref="A1:A280"/>
  </sortState>
  <tableColumns count="6">
    <tableColumn id="1" xr3:uid="{D96993C5-C167-4825-9C7F-B8D4CFF269C9}" name="DATA" totalsRowLabel="Totale" dataDxfId="24" totalsRowDxfId="23"/>
    <tableColumn id="2" xr3:uid="{EA328011-FA8D-4FBF-89BB-7FDEA473EA9B}" name="MESE" dataDxfId="22" totalsRowDxfId="21">
      <calculatedColumnFormula>TEXT(Budget23[[#This Row],[DATA]],"mmmm")&amp;" "&amp;TEXT(Budget23[[#This Row],[DATA]],"aaaa")</calculatedColumnFormula>
    </tableColumn>
    <tableColumn id="3" xr3:uid="{3FFEB085-FF50-4016-BEFE-3E5677D0C5F8}" name="CAUSALE" dataDxfId="20" totalsRowDxfId="19"/>
    <tableColumn id="4" xr3:uid="{0A41C360-543D-4B5B-AF2A-17DF07F3F579}" name="ENTRATE" totalsRowFunction="sum" dataDxfId="18" totalsRowDxfId="17" dataCellStyle="Valuta"/>
    <tableColumn id="5" xr3:uid="{1715027A-53F3-43A1-AA88-7DABFCC0F304}" name="USCITE" totalsRowFunction="sum" dataDxfId="16" totalsRowDxfId="15" dataCellStyle="Valuta"/>
    <tableColumn id="6" xr3:uid="{AA974086-39F0-4346-BBE6-3898F83A8E35}" name="SALDO" totalsRowFunction="custom" dataDxfId="14" totalsRowDxfId="13" dataCellStyle="Valuta">
      <calculatedColumnFormula>F1+Budget22[[#This Row],[ENTRATE]]-Budget22[[#This Row],[USCITE]]</calculatedColumnFormula>
      <totalsRowFormula>Budget23[[#Totals],[ENTRATE]]-Budget23[[#Totals],[USCITE]]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3D6966D-9D66-449B-9792-5A29B2EE8193}" name="Budget22" displayName="Budget22" ref="A1:F60" totalsRowCount="1" headerRowDxfId="12" dataDxfId="11" headerRowCellStyle="Valuta" dataCellStyle="Valuta">
  <autoFilter ref="A1:F59" xr:uid="{A3D6966D-9D66-449B-9792-5A29B2EE8193}"/>
  <sortState xmlns:xlrd2="http://schemas.microsoft.com/office/spreadsheetml/2017/richdata2" ref="A2:F59">
    <sortCondition ref="A1:A59"/>
  </sortState>
  <tableColumns count="6">
    <tableColumn id="1" xr3:uid="{16FFE143-9C2A-45EE-AD55-19439A989DF6}" name="DATA" totalsRowLabel="Totale" dataDxfId="10" totalsRowDxfId="9"/>
    <tableColumn id="6" xr3:uid="{BF0E50FA-D032-499D-9F85-ACED90B423EF}" name="MESE" dataDxfId="8">
      <calculatedColumnFormula>TEXT(Budget22[[#This Row],[DATA]],"mmmm")&amp;" "&amp;TEXT(Budget22[[#This Row],[DATA]],"aaaa")</calculatedColumnFormula>
    </tableColumn>
    <tableColumn id="2" xr3:uid="{839248DA-CE12-4D6E-B879-D76D599AB1CA}" name="CAUSALE"/>
    <tableColumn id="3" xr3:uid="{4D214B3C-6159-4335-959E-CED5517924AB}" name="ENTRATE" totalsRowFunction="sum" dataDxfId="7" totalsRowDxfId="6" dataCellStyle="Valuta"/>
    <tableColumn id="4" xr3:uid="{C7B70129-42B5-4E38-98CB-9A5EFF8D48A6}" name="USCITE" totalsRowFunction="sum" dataDxfId="5" totalsRowDxfId="4" dataCellStyle="Valuta"/>
    <tableColumn id="5" xr3:uid="{B589DFFB-5FB5-4807-BA6E-9BF8E829F83F}" name="SALDO" totalsRowFunction="custom" dataDxfId="3" totalsRowDxfId="2" dataCellStyle="Valuta">
      <calculatedColumnFormula>Budget22[[#This Row],[ENTRATE]]</calculatedColumnFormula>
      <totalsRowFormula>Budget22[[#Totals],[ENTRATE]]-Budget22[[#Totals],[USCITE]]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85" dT="2024-12-21T06:57:59.55" personId="{ADD4ED00-086E-8346-AA21-16F147F038BD}" id="{E77F8815-F03C-EF4D-BD69-A66DE1099FAA}">
    <text>2.000 vacanza
500 regalo raoul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B6B1-DF7B-4F09-B054-7340635C2723}">
  <dimension ref="A1:J371"/>
  <sheetViews>
    <sheetView topLeftCell="E1" zoomScale="115" zoomScaleNormal="115" workbookViewId="0">
      <pane ySplit="1" topLeftCell="A309" activePane="bottomLeft" state="frozen"/>
      <selection activeCell="E1" sqref="E1"/>
      <selection pane="bottomLeft" activeCell="E1" sqref="E1"/>
    </sheetView>
  </sheetViews>
  <sheetFormatPr defaultRowHeight="15" x14ac:dyDescent="0.25"/>
  <cols>
    <col min="1" max="1" width="27" bestFit="1" customWidth="1"/>
    <col min="2" max="2" width="16.42578125" customWidth="1"/>
    <col min="3" max="3" width="29" customWidth="1"/>
    <col min="4" max="6" width="13" bestFit="1" customWidth="1"/>
    <col min="7" max="7" width="2.7109375" customWidth="1"/>
    <col min="8" max="9" width="18.28515625" bestFit="1" customWidth="1"/>
    <col min="10" max="10" width="16.5703125" bestFit="1" customWidth="1"/>
  </cols>
  <sheetData>
    <row r="1" spans="1:6" x14ac:dyDescent="0.25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6" x14ac:dyDescent="0.25">
      <c r="A2" s="30">
        <v>45658</v>
      </c>
      <c r="B2" s="13" t="str">
        <f>TEXT(Tabella3[[#This Row],[DATA]],"mmmm")&amp;" "&amp;TEXT(Tabella3[[#This Row],[DATA]],"aaaa")</f>
        <v>gennaio 2025</v>
      </c>
      <c r="C2" s="14" t="s">
        <v>5</v>
      </c>
      <c r="D2" s="15">
        <v>1280.72</v>
      </c>
      <c r="E2" s="15"/>
      <c r="F2" s="31">
        <f>D2</f>
        <v>1280.72</v>
      </c>
    </row>
    <row r="3" spans="1:6" x14ac:dyDescent="0.25">
      <c r="A3" s="30">
        <v>45664</v>
      </c>
      <c r="B3" s="13" t="str">
        <f>TEXT(Tabella3[[#This Row],[DATA]],"mmmm")&amp;" "&amp;TEXT(Tabella3[[#This Row],[DATA]],"aaaa")</f>
        <v>gennaio 2025</v>
      </c>
      <c r="C3" s="14" t="s">
        <v>6</v>
      </c>
      <c r="D3" s="15"/>
      <c r="E3" s="15">
        <v>2.7</v>
      </c>
      <c r="F3" s="31">
        <f t="shared" ref="F3:F66" si="0">F2-E3+D3</f>
        <v>1278.02</v>
      </c>
    </row>
    <row r="4" spans="1:6" x14ac:dyDescent="0.25">
      <c r="A4" s="30">
        <v>45664</v>
      </c>
      <c r="B4" s="13" t="str">
        <f>TEXT(Tabella3[[#This Row],[DATA]],"mmmm")&amp;" "&amp;TEXT(Tabella3[[#This Row],[DATA]],"aaaa")</f>
        <v>gennaio 2025</v>
      </c>
      <c r="C4" s="14" t="s">
        <v>7</v>
      </c>
      <c r="D4" s="15"/>
      <c r="E4" s="15">
        <v>28.35</v>
      </c>
      <c r="F4" s="31">
        <f t="shared" si="0"/>
        <v>1249.67</v>
      </c>
    </row>
    <row r="5" spans="1:6" x14ac:dyDescent="0.25">
      <c r="A5" s="30">
        <v>45665</v>
      </c>
      <c r="B5" s="13" t="str">
        <f>TEXT(Tabella3[[#This Row],[DATA]],"mmmm")&amp;" "&amp;TEXT(Tabella3[[#This Row],[DATA]],"aaaa")</f>
        <v>gennaio 2025</v>
      </c>
      <c r="C5" s="14" t="s">
        <v>8</v>
      </c>
      <c r="D5" s="15"/>
      <c r="E5" s="15">
        <v>47.77</v>
      </c>
      <c r="F5" s="31">
        <f t="shared" si="0"/>
        <v>1201.9000000000001</v>
      </c>
    </row>
    <row r="6" spans="1:6" x14ac:dyDescent="0.25">
      <c r="A6" s="30">
        <v>45666</v>
      </c>
      <c r="B6" s="13" t="str">
        <f>TEXT(Tabella3[[#This Row],[DATA]],"mmmm")&amp;" "&amp;TEXT(Tabella3[[#This Row],[DATA]],"aaaa")</f>
        <v>gennaio 2025</v>
      </c>
      <c r="C6" s="14" t="s">
        <v>9</v>
      </c>
      <c r="D6" s="15"/>
      <c r="E6" s="15">
        <v>100</v>
      </c>
      <c r="F6" s="31">
        <f t="shared" si="0"/>
        <v>1101.9000000000001</v>
      </c>
    </row>
    <row r="7" spans="1:6" x14ac:dyDescent="0.25">
      <c r="A7" s="30">
        <v>45670</v>
      </c>
      <c r="B7" s="13" t="str">
        <f>TEXT(Tabella3[[#This Row],[DATA]],"mmmm")&amp;" "&amp;TEXT(Tabella3[[#This Row],[DATA]],"aaaa")</f>
        <v>gennaio 2025</v>
      </c>
      <c r="C7" s="14" t="s">
        <v>10</v>
      </c>
      <c r="D7" s="15">
        <v>1704</v>
      </c>
      <c r="E7" s="15"/>
      <c r="F7" s="31">
        <f t="shared" si="0"/>
        <v>2805.9</v>
      </c>
    </row>
    <row r="8" spans="1:6" x14ac:dyDescent="0.25">
      <c r="A8" s="30">
        <v>45670</v>
      </c>
      <c r="B8" s="13" t="str">
        <f>TEXT(Tabella3[[#This Row],[DATA]],"mmmm")&amp;" "&amp;TEXT(Tabella3[[#This Row],[DATA]],"aaaa")</f>
        <v>gennaio 2025</v>
      </c>
      <c r="C8" s="14" t="s">
        <v>11</v>
      </c>
      <c r="D8" s="15"/>
      <c r="E8" s="15">
        <v>1000.5</v>
      </c>
      <c r="F8" s="31">
        <f t="shared" si="0"/>
        <v>1805.4</v>
      </c>
    </row>
    <row r="9" spans="1:6" x14ac:dyDescent="0.25">
      <c r="A9" s="30">
        <v>45671</v>
      </c>
      <c r="B9" s="13" t="str">
        <f>TEXT(Tabella3[[#This Row],[DATA]],"mmmm")&amp;" "&amp;TEXT(Tabella3[[#This Row],[DATA]],"aaaa")</f>
        <v>gennaio 2025</v>
      </c>
      <c r="C9" s="14" t="s">
        <v>6</v>
      </c>
      <c r="D9" s="15"/>
      <c r="E9" s="15">
        <v>28.17</v>
      </c>
      <c r="F9" s="31">
        <f t="shared" si="0"/>
        <v>1777.23</v>
      </c>
    </row>
    <row r="10" spans="1:6" x14ac:dyDescent="0.25">
      <c r="A10" s="30">
        <v>45673</v>
      </c>
      <c r="B10" s="13" t="str">
        <f>TEXT(Tabella3[[#This Row],[DATA]],"mmmm")&amp;" "&amp;TEXT(Tabella3[[#This Row],[DATA]],"aaaa")</f>
        <v>gennaio 2025</v>
      </c>
      <c r="C10" s="14" t="s">
        <v>12</v>
      </c>
      <c r="D10" s="15"/>
      <c r="E10" s="15">
        <v>10</v>
      </c>
      <c r="F10" s="31">
        <f t="shared" si="0"/>
        <v>1767.23</v>
      </c>
    </row>
    <row r="11" spans="1:6" x14ac:dyDescent="0.25">
      <c r="A11" s="30">
        <v>45673</v>
      </c>
      <c r="B11" s="13" t="str">
        <f>TEXT(Tabella3[[#This Row],[DATA]],"mmmm")&amp;" "&amp;TEXT(Tabella3[[#This Row],[DATA]],"aaaa")</f>
        <v>gennaio 2025</v>
      </c>
      <c r="C11" s="14" t="s">
        <v>13</v>
      </c>
      <c r="D11" s="15"/>
      <c r="E11" s="15">
        <v>4.25</v>
      </c>
      <c r="F11" s="31">
        <f t="shared" si="0"/>
        <v>1762.98</v>
      </c>
    </row>
    <row r="12" spans="1:6" x14ac:dyDescent="0.25">
      <c r="A12" s="30">
        <v>45673</v>
      </c>
      <c r="B12" s="13" t="str">
        <f>TEXT(Tabella3[[#This Row],[DATA]],"mmmm")&amp;" "&amp;TEXT(Tabella3[[#This Row],[DATA]],"aaaa")</f>
        <v>gennaio 2025</v>
      </c>
      <c r="C12" s="14" t="s">
        <v>14</v>
      </c>
      <c r="D12" s="15"/>
      <c r="E12" s="15">
        <v>49.9</v>
      </c>
      <c r="F12" s="31">
        <f t="shared" si="0"/>
        <v>1713.08</v>
      </c>
    </row>
    <row r="13" spans="1:6" x14ac:dyDescent="0.25">
      <c r="A13" s="30">
        <v>45673</v>
      </c>
      <c r="B13" s="13" t="str">
        <f>TEXT(Tabella3[[#This Row],[DATA]],"mmmm")&amp;" "&amp;TEXT(Tabella3[[#This Row],[DATA]],"aaaa")</f>
        <v>gennaio 2025</v>
      </c>
      <c r="C13" s="14" t="s">
        <v>15</v>
      </c>
      <c r="D13" s="15"/>
      <c r="E13" s="15">
        <f>96.12+8.3</f>
        <v>104.42</v>
      </c>
      <c r="F13" s="31">
        <f t="shared" si="0"/>
        <v>1608.6599999999999</v>
      </c>
    </row>
    <row r="14" spans="1:6" x14ac:dyDescent="0.25">
      <c r="A14" s="30">
        <v>45673</v>
      </c>
      <c r="B14" s="13" t="str">
        <f>TEXT(Tabella3[[#This Row],[DATA]],"mmmm")&amp;" "&amp;TEXT(Tabella3[[#This Row],[DATA]],"aaaa")</f>
        <v>gennaio 2025</v>
      </c>
      <c r="C14" s="14" t="s">
        <v>7</v>
      </c>
      <c r="D14" s="15"/>
      <c r="E14" s="15">
        <v>50</v>
      </c>
      <c r="F14" s="31">
        <f t="shared" si="0"/>
        <v>1558.6599999999999</v>
      </c>
    </row>
    <row r="15" spans="1:6" x14ac:dyDescent="0.25">
      <c r="A15" s="30">
        <v>45679</v>
      </c>
      <c r="B15" s="13" t="str">
        <f>TEXT(Tabella3[[#This Row],[DATA]],"mmmm")&amp;" "&amp;TEXT(Tabella3[[#This Row],[DATA]],"aaaa")</f>
        <v>gennaio 2025</v>
      </c>
      <c r="C15" s="14" t="s">
        <v>16</v>
      </c>
      <c r="D15" s="15"/>
      <c r="E15" s="15">
        <v>16</v>
      </c>
      <c r="F15" s="31">
        <f t="shared" si="0"/>
        <v>1542.6599999999999</v>
      </c>
    </row>
    <row r="16" spans="1:6" x14ac:dyDescent="0.25">
      <c r="A16" s="30">
        <v>45679</v>
      </c>
      <c r="B16" s="13" t="str">
        <f>TEXT(Tabella3[[#This Row],[DATA]],"mmmm")&amp;" "&amp;TEXT(Tabella3[[#This Row],[DATA]],"aaaa")</f>
        <v>gennaio 2025</v>
      </c>
      <c r="C16" s="14" t="s">
        <v>17</v>
      </c>
      <c r="D16" s="15"/>
      <c r="E16" s="15">
        <v>83</v>
      </c>
      <c r="F16" s="31">
        <f t="shared" si="0"/>
        <v>1459.6599999999999</v>
      </c>
    </row>
    <row r="17" spans="1:9" x14ac:dyDescent="0.25">
      <c r="A17" s="30">
        <v>45681</v>
      </c>
      <c r="B17" s="13" t="str">
        <f>TEXT(Tabella3[[#This Row],[DATA]],"mmmm")&amp;" "&amp;TEXT(Tabella3[[#This Row],[DATA]],"aaaa")</f>
        <v>gennaio 2025</v>
      </c>
      <c r="C17" s="14" t="s">
        <v>11</v>
      </c>
      <c r="D17" s="15"/>
      <c r="E17" s="15">
        <v>510</v>
      </c>
      <c r="F17" s="31">
        <f t="shared" si="0"/>
        <v>949.65999999999985</v>
      </c>
    </row>
    <row r="18" spans="1:9" x14ac:dyDescent="0.25">
      <c r="A18" s="30">
        <v>45688</v>
      </c>
      <c r="B18" s="13" t="str">
        <f>TEXT(Tabella3[[#This Row],[DATA]],"mmmm")&amp;" "&amp;TEXT(Tabella3[[#This Row],[DATA]],"aaaa")</f>
        <v>gennaio 2025</v>
      </c>
      <c r="C18" s="14" t="s">
        <v>18</v>
      </c>
      <c r="D18" s="15"/>
      <c r="E18" s="15">
        <v>307.01</v>
      </c>
      <c r="F18" s="31">
        <f t="shared" si="0"/>
        <v>642.64999999999986</v>
      </c>
    </row>
    <row r="19" spans="1:9" x14ac:dyDescent="0.25">
      <c r="A19" s="30">
        <v>45696</v>
      </c>
      <c r="B19" s="13" t="str">
        <f>TEXT(Tabella3[[#This Row],[DATA]],"mmmm")&amp;" "&amp;TEXT(Tabella3[[#This Row],[DATA]],"aaaa")</f>
        <v>febbraio 2025</v>
      </c>
      <c r="C19" s="14" t="s">
        <v>8</v>
      </c>
      <c r="D19" s="15"/>
      <c r="E19" s="15">
        <v>47.77</v>
      </c>
      <c r="F19" s="31">
        <f t="shared" si="0"/>
        <v>594.87999999999988</v>
      </c>
      <c r="I19" s="7"/>
    </row>
    <row r="20" spans="1:9" x14ac:dyDescent="0.25">
      <c r="A20" s="30">
        <v>45696</v>
      </c>
      <c r="B20" s="13" t="str">
        <f>TEXT(Tabella3[[#This Row],[DATA]],"mmmm")&amp;" "&amp;TEXT(Tabella3[[#This Row],[DATA]],"aaaa")</f>
        <v>febbraio 2025</v>
      </c>
      <c r="C20" s="14" t="s">
        <v>7</v>
      </c>
      <c r="D20" s="15"/>
      <c r="E20" s="15">
        <v>27.31</v>
      </c>
      <c r="F20" s="31">
        <f t="shared" si="0"/>
        <v>567.56999999999994</v>
      </c>
    </row>
    <row r="21" spans="1:9" x14ac:dyDescent="0.25">
      <c r="A21" s="30">
        <v>45698</v>
      </c>
      <c r="B21" s="13" t="str">
        <f>TEXT(Tabella3[[#This Row],[DATA]],"mmmm")&amp;" "&amp;TEXT(Tabella3[[#This Row],[DATA]],"aaaa")</f>
        <v>febbraio 2025</v>
      </c>
      <c r="C21" s="14" t="s">
        <v>10</v>
      </c>
      <c r="D21" s="15">
        <v>1892</v>
      </c>
      <c r="E21" s="15"/>
      <c r="F21" s="31">
        <f t="shared" si="0"/>
        <v>2459.5699999999997</v>
      </c>
    </row>
    <row r="22" spans="1:9" x14ac:dyDescent="0.25">
      <c r="A22" s="30">
        <v>45699</v>
      </c>
      <c r="B22" s="13" t="str">
        <f>TEXT(Tabella3[[#This Row],[DATA]],"mmmm")&amp;" "&amp;TEXT(Tabella3[[#This Row],[DATA]],"aaaa")</f>
        <v>febbraio 2025</v>
      </c>
      <c r="C22" s="14" t="s">
        <v>11</v>
      </c>
      <c r="D22" s="15"/>
      <c r="E22" s="15">
        <v>500.5</v>
      </c>
      <c r="F22" s="31">
        <f t="shared" si="0"/>
        <v>1959.0699999999997</v>
      </c>
    </row>
    <row r="23" spans="1:9" x14ac:dyDescent="0.25">
      <c r="A23" s="30">
        <v>45704</v>
      </c>
      <c r="B23" s="13" t="str">
        <f>TEXT(Tabella3[[#This Row],[DATA]],"mmmm")&amp;" "&amp;TEXT(Tabella3[[#This Row],[DATA]],"aaaa")</f>
        <v>febbraio 2025</v>
      </c>
      <c r="C23" s="14" t="s">
        <v>19</v>
      </c>
      <c r="D23" s="15"/>
      <c r="E23" s="15">
        <v>46.24</v>
      </c>
      <c r="F23" s="31">
        <f t="shared" si="0"/>
        <v>1912.8299999999997</v>
      </c>
    </row>
    <row r="24" spans="1:9" x14ac:dyDescent="0.25">
      <c r="A24" s="30">
        <v>45704</v>
      </c>
      <c r="B24" s="13" t="str">
        <f>TEXT(Tabella3[[#This Row],[DATA]],"mmmm")&amp;" "&amp;TEXT(Tabella3[[#This Row],[DATA]],"aaaa")</f>
        <v>febbraio 2025</v>
      </c>
      <c r="C24" s="14" t="s">
        <v>13</v>
      </c>
      <c r="D24" s="15"/>
      <c r="E24" s="15">
        <v>4.25</v>
      </c>
      <c r="F24" s="31">
        <f t="shared" si="0"/>
        <v>1908.5799999999997</v>
      </c>
    </row>
    <row r="25" spans="1:9" x14ac:dyDescent="0.25">
      <c r="A25" s="30">
        <v>45704</v>
      </c>
      <c r="B25" s="13" t="str">
        <f>TEXT(Tabella3[[#This Row],[DATA]],"mmmm")&amp;" "&amp;TEXT(Tabella3[[#This Row],[DATA]],"aaaa")</f>
        <v>febbraio 2025</v>
      </c>
      <c r="C25" s="14" t="s">
        <v>12</v>
      </c>
      <c r="D25" s="15"/>
      <c r="E25" s="15">
        <v>10</v>
      </c>
      <c r="F25" s="31">
        <f t="shared" si="0"/>
        <v>1898.5799999999997</v>
      </c>
    </row>
    <row r="26" spans="1:9" x14ac:dyDescent="0.25">
      <c r="A26" s="30">
        <v>45704</v>
      </c>
      <c r="B26" s="13" t="str">
        <f>TEXT(Tabella3[[#This Row],[DATA]],"mmmm")&amp;" "&amp;TEXT(Tabella3[[#This Row],[DATA]],"aaaa")</f>
        <v>febbraio 2025</v>
      </c>
      <c r="C26" s="14" t="s">
        <v>20</v>
      </c>
      <c r="D26" s="15"/>
      <c r="E26" s="15">
        <v>57.04</v>
      </c>
      <c r="F26" s="31">
        <f t="shared" si="0"/>
        <v>1841.5399999999997</v>
      </c>
    </row>
    <row r="27" spans="1:9" x14ac:dyDescent="0.25">
      <c r="A27" s="30">
        <v>45704</v>
      </c>
      <c r="B27" s="13" t="str">
        <f>TEXT(Tabella3[[#This Row],[DATA]],"mmmm")&amp;" "&amp;TEXT(Tabella3[[#This Row],[DATA]],"aaaa")</f>
        <v>febbraio 2025</v>
      </c>
      <c r="C27" s="14" t="s">
        <v>14</v>
      </c>
      <c r="D27" s="15"/>
      <c r="E27" s="15">
        <v>35.97</v>
      </c>
      <c r="F27" s="31">
        <f t="shared" si="0"/>
        <v>1805.5699999999997</v>
      </c>
    </row>
    <row r="28" spans="1:9" x14ac:dyDescent="0.25">
      <c r="A28" s="30">
        <v>45704</v>
      </c>
      <c r="B28" s="13" t="str">
        <f>TEXT(Tabella3[[#This Row],[DATA]],"mmmm")&amp;" "&amp;TEXT(Tabella3[[#This Row],[DATA]],"aaaa")</f>
        <v>febbraio 2025</v>
      </c>
      <c r="C28" s="14" t="s">
        <v>14</v>
      </c>
      <c r="D28" s="15"/>
      <c r="E28" s="15">
        <v>68.430000000000007</v>
      </c>
      <c r="F28" s="31">
        <f t="shared" si="0"/>
        <v>1737.1399999999996</v>
      </c>
    </row>
    <row r="29" spans="1:9" x14ac:dyDescent="0.25">
      <c r="A29" s="30">
        <v>45704</v>
      </c>
      <c r="B29" s="13" t="str">
        <f>TEXT(Tabella3[[#This Row],[DATA]],"mmmm")&amp;" "&amp;TEXT(Tabella3[[#This Row],[DATA]],"aaaa")</f>
        <v>febbraio 2025</v>
      </c>
      <c r="C29" s="14" t="s">
        <v>21</v>
      </c>
      <c r="D29" s="15"/>
      <c r="E29" s="15">
        <v>107.94</v>
      </c>
      <c r="F29" s="31">
        <f t="shared" si="0"/>
        <v>1629.1999999999996</v>
      </c>
    </row>
    <row r="30" spans="1:9" x14ac:dyDescent="0.25">
      <c r="A30" s="30">
        <v>45704</v>
      </c>
      <c r="B30" s="13" t="str">
        <f>TEXT(Tabella3[[#This Row],[DATA]],"mmmm")&amp;" "&amp;TEXT(Tabella3[[#This Row],[DATA]],"aaaa")</f>
        <v>febbraio 2025</v>
      </c>
      <c r="C30" s="14" t="s">
        <v>22</v>
      </c>
      <c r="D30" s="15"/>
      <c r="E30" s="15">
        <v>55.5</v>
      </c>
      <c r="F30" s="31">
        <f t="shared" si="0"/>
        <v>1573.6999999999996</v>
      </c>
    </row>
    <row r="31" spans="1:9" x14ac:dyDescent="0.25">
      <c r="A31" s="30">
        <v>45704</v>
      </c>
      <c r="B31" s="13" t="str">
        <f>TEXT(Tabella3[[#This Row],[DATA]],"mmmm")&amp;" "&amp;TEXT(Tabella3[[#This Row],[DATA]],"aaaa")</f>
        <v>febbraio 2025</v>
      </c>
      <c r="C31" s="14" t="s">
        <v>12</v>
      </c>
      <c r="D31" s="15"/>
      <c r="E31" s="15">
        <v>10</v>
      </c>
      <c r="F31" s="31">
        <f t="shared" si="0"/>
        <v>1563.6999999999996</v>
      </c>
    </row>
    <row r="32" spans="1:9" x14ac:dyDescent="0.25">
      <c r="A32" s="30">
        <v>45704</v>
      </c>
      <c r="B32" s="13" t="str">
        <f>TEXT(Tabella3[[#This Row],[DATA]],"mmmm")&amp;" "&amp;TEXT(Tabella3[[#This Row],[DATA]],"aaaa")</f>
        <v>febbraio 2025</v>
      </c>
      <c r="C32" s="14" t="s">
        <v>7</v>
      </c>
      <c r="D32" s="15"/>
      <c r="E32" s="15">
        <v>28.2</v>
      </c>
      <c r="F32" s="31">
        <f t="shared" si="0"/>
        <v>1535.4999999999995</v>
      </c>
    </row>
    <row r="33" spans="1:6" x14ac:dyDescent="0.25">
      <c r="A33" s="30">
        <v>45704</v>
      </c>
      <c r="B33" s="13" t="str">
        <f>TEXT(Tabella3[[#This Row],[DATA]],"mmmm")&amp;" "&amp;TEXT(Tabella3[[#This Row],[DATA]],"aaaa")</f>
        <v>febbraio 2025</v>
      </c>
      <c r="C33" s="14" t="s">
        <v>9</v>
      </c>
      <c r="D33" s="15"/>
      <c r="E33" s="15">
        <f>250+12</f>
        <v>262</v>
      </c>
      <c r="F33" s="31">
        <f t="shared" si="0"/>
        <v>1273.4999999999995</v>
      </c>
    </row>
    <row r="34" spans="1:6" x14ac:dyDescent="0.25">
      <c r="A34" s="30">
        <v>45704</v>
      </c>
      <c r="B34" s="13" t="str">
        <f>TEXT(Tabella3[[#This Row],[DATA]],"mmmm")&amp;" "&amp;TEXT(Tabella3[[#This Row],[DATA]],"aaaa")</f>
        <v>febbraio 2025</v>
      </c>
      <c r="C34" s="14" t="s">
        <v>15</v>
      </c>
      <c r="D34" s="15"/>
      <c r="E34" s="15">
        <f>96.12+8.3</f>
        <v>104.42</v>
      </c>
      <c r="F34" s="31">
        <f t="shared" si="0"/>
        <v>1169.0799999999995</v>
      </c>
    </row>
    <row r="35" spans="1:6" x14ac:dyDescent="0.25">
      <c r="A35" s="30">
        <v>45704</v>
      </c>
      <c r="B35" s="13" t="str">
        <f>TEXT(Tabella3[[#This Row],[DATA]],"mmmm")&amp;" "&amp;TEXT(Tabella3[[#This Row],[DATA]],"aaaa")</f>
        <v>febbraio 2025</v>
      </c>
      <c r="C35" s="14" t="s">
        <v>23</v>
      </c>
      <c r="D35" s="15"/>
      <c r="E35" s="15">
        <v>18.399999999999999</v>
      </c>
      <c r="F35" s="31">
        <f t="shared" si="0"/>
        <v>1150.6799999999994</v>
      </c>
    </row>
    <row r="36" spans="1:6" x14ac:dyDescent="0.25">
      <c r="A36" s="30">
        <v>45713</v>
      </c>
      <c r="B36" s="13" t="str">
        <f>TEXT(Tabella3[[#This Row],[DATA]],"mmmm")&amp;" "&amp;TEXT(Tabella3[[#This Row],[DATA]],"aaaa")</f>
        <v>febbraio 2025</v>
      </c>
      <c r="C36" s="14" t="s">
        <v>7</v>
      </c>
      <c r="D36" s="15"/>
      <c r="E36" s="15">
        <v>67</v>
      </c>
      <c r="F36" s="31">
        <f t="shared" si="0"/>
        <v>1083.6799999999994</v>
      </c>
    </row>
    <row r="37" spans="1:6" x14ac:dyDescent="0.25">
      <c r="A37" s="30">
        <v>45713</v>
      </c>
      <c r="B37" s="13" t="str">
        <f>TEXT(Tabella3[[#This Row],[DATA]],"mmmm")&amp;" "&amp;TEXT(Tabella3[[#This Row],[DATA]],"aaaa")</f>
        <v>febbraio 2025</v>
      </c>
      <c r="C37" s="14" t="s">
        <v>9</v>
      </c>
      <c r="D37" s="15"/>
      <c r="E37" s="15">
        <v>100</v>
      </c>
      <c r="F37" s="31">
        <f t="shared" si="0"/>
        <v>983.67999999999938</v>
      </c>
    </row>
    <row r="38" spans="1:6" x14ac:dyDescent="0.25">
      <c r="A38" s="30">
        <v>45716</v>
      </c>
      <c r="B38" s="13" t="str">
        <f>TEXT(Tabella3[[#This Row],[DATA]],"mmmm")&amp;" "&amp;TEXT(Tabella3[[#This Row],[DATA]],"aaaa")</f>
        <v>febbraio 2025</v>
      </c>
      <c r="C38" s="14" t="s">
        <v>18</v>
      </c>
      <c r="D38" s="15"/>
      <c r="E38" s="15">
        <v>307.01</v>
      </c>
      <c r="F38" s="31">
        <f t="shared" si="0"/>
        <v>676.66999999999939</v>
      </c>
    </row>
    <row r="39" spans="1:6" x14ac:dyDescent="0.25">
      <c r="A39" s="30">
        <v>45724</v>
      </c>
      <c r="B39" s="13" t="str">
        <f>TEXT(Tabella3[[#This Row],[DATA]],"mmmm")&amp;" "&amp;TEXT(Tabella3[[#This Row],[DATA]],"aaaa")</f>
        <v>marzo 2025</v>
      </c>
      <c r="C39" s="14" t="s">
        <v>8</v>
      </c>
      <c r="D39" s="15"/>
      <c r="E39" s="15">
        <v>47.77</v>
      </c>
      <c r="F39" s="31">
        <f t="shared" si="0"/>
        <v>628.89999999999941</v>
      </c>
    </row>
    <row r="40" spans="1:6" x14ac:dyDescent="0.25">
      <c r="A40" s="30">
        <v>45726</v>
      </c>
      <c r="B40" s="13" t="str">
        <f>TEXT(Tabella3[[#This Row],[DATA]],"mmmm")&amp;" "&amp;TEXT(Tabella3[[#This Row],[DATA]],"aaaa")</f>
        <v>marzo 2025</v>
      </c>
      <c r="C40" s="14" t="s">
        <v>10</v>
      </c>
      <c r="D40" s="15">
        <v>1795</v>
      </c>
      <c r="E40" s="15"/>
      <c r="F40" s="31">
        <f t="shared" si="0"/>
        <v>2423.8999999999996</v>
      </c>
    </row>
    <row r="41" spans="1:6" x14ac:dyDescent="0.25">
      <c r="A41" s="30">
        <v>45727</v>
      </c>
      <c r="B41" s="13" t="str">
        <f>TEXT(Tabella3[[#This Row],[DATA]],"mmmm")&amp;" "&amp;TEXT(Tabella3[[#This Row],[DATA]],"aaaa")</f>
        <v>marzo 2025</v>
      </c>
      <c r="C41" s="14" t="s">
        <v>11</v>
      </c>
      <c r="D41" s="15"/>
      <c r="E41" s="15">
        <v>500.5</v>
      </c>
      <c r="F41" s="31">
        <f t="shared" si="0"/>
        <v>1923.3999999999996</v>
      </c>
    </row>
    <row r="42" spans="1:6" x14ac:dyDescent="0.25">
      <c r="A42" s="30">
        <v>45732</v>
      </c>
      <c r="B42" s="13" t="str">
        <f>TEXT(Tabella3[[#This Row],[DATA]],"mmmm")&amp;" "&amp;TEXT(Tabella3[[#This Row],[DATA]],"aaaa")</f>
        <v>marzo 2025</v>
      </c>
      <c r="C42" s="14" t="s">
        <v>15</v>
      </c>
      <c r="D42" s="15"/>
      <c r="E42" s="15">
        <f>96.12+8.3</f>
        <v>104.42</v>
      </c>
      <c r="F42" s="31">
        <f t="shared" si="0"/>
        <v>1818.9799999999996</v>
      </c>
    </row>
    <row r="43" spans="1:6" x14ac:dyDescent="0.25">
      <c r="A43" s="30">
        <v>45732</v>
      </c>
      <c r="B43" s="13" t="str">
        <f>TEXT(Tabella3[[#This Row],[DATA]],"mmmm")&amp;" "&amp;TEXT(Tabella3[[#This Row],[DATA]],"aaaa")</f>
        <v>marzo 2025</v>
      </c>
      <c r="C43" s="14" t="s">
        <v>14</v>
      </c>
      <c r="D43" s="15"/>
      <c r="E43" s="15">
        <v>14.15</v>
      </c>
      <c r="F43" s="31">
        <f t="shared" si="0"/>
        <v>1804.8299999999995</v>
      </c>
    </row>
    <row r="44" spans="1:6" x14ac:dyDescent="0.25">
      <c r="A44" s="30">
        <v>45732</v>
      </c>
      <c r="B44" s="13" t="str">
        <f>TEXT(Tabella3[[#This Row],[DATA]],"mmmm")&amp;" "&amp;TEXT(Tabella3[[#This Row],[DATA]],"aaaa")</f>
        <v>marzo 2025</v>
      </c>
      <c r="C44" s="14" t="s">
        <v>19</v>
      </c>
      <c r="D44" s="15"/>
      <c r="E44" s="15">
        <v>46.24</v>
      </c>
      <c r="F44" s="31">
        <f t="shared" si="0"/>
        <v>1758.5899999999995</v>
      </c>
    </row>
    <row r="45" spans="1:6" x14ac:dyDescent="0.25">
      <c r="A45" s="30">
        <v>45732</v>
      </c>
      <c r="B45" s="13" t="str">
        <f>TEXT(Tabella3[[#This Row],[DATA]],"mmmm")&amp;" "&amp;TEXT(Tabella3[[#This Row],[DATA]],"aaaa")</f>
        <v>marzo 2025</v>
      </c>
      <c r="C45" s="14" t="s">
        <v>13</v>
      </c>
      <c r="D45" s="15"/>
      <c r="E45" s="15">
        <v>4.25</v>
      </c>
      <c r="F45" s="31">
        <f t="shared" si="0"/>
        <v>1754.3399999999995</v>
      </c>
    </row>
    <row r="46" spans="1:6" x14ac:dyDescent="0.25">
      <c r="A46" s="30">
        <v>45732</v>
      </c>
      <c r="B46" s="13" t="str">
        <f>TEXT(Tabella3[[#This Row],[DATA]],"mmmm")&amp;" "&amp;TEXT(Tabella3[[#This Row],[DATA]],"aaaa")</f>
        <v>marzo 2025</v>
      </c>
      <c r="C46" s="14" t="s">
        <v>24</v>
      </c>
      <c r="D46" s="15"/>
      <c r="E46" s="15">
        <v>94</v>
      </c>
      <c r="F46" s="31">
        <f t="shared" si="0"/>
        <v>1660.3399999999995</v>
      </c>
    </row>
    <row r="47" spans="1:6" x14ac:dyDescent="0.25">
      <c r="A47" s="30">
        <v>45732</v>
      </c>
      <c r="B47" s="13" t="str">
        <f>TEXT(Tabella3[[#This Row],[DATA]],"mmmm")&amp;" "&amp;TEXT(Tabella3[[#This Row],[DATA]],"aaaa")</f>
        <v>marzo 2025</v>
      </c>
      <c r="C47" s="14" t="s">
        <v>14</v>
      </c>
      <c r="D47" s="15"/>
      <c r="E47" s="15">
        <v>25.37</v>
      </c>
      <c r="F47" s="31">
        <f t="shared" si="0"/>
        <v>1634.9699999999996</v>
      </c>
    </row>
    <row r="48" spans="1:6" x14ac:dyDescent="0.25">
      <c r="A48" s="30">
        <v>45732</v>
      </c>
      <c r="B48" s="13" t="str">
        <f>TEXT(Tabella3[[#This Row],[DATA]],"mmmm")&amp;" "&amp;TEXT(Tabella3[[#This Row],[DATA]],"aaaa")</f>
        <v>marzo 2025</v>
      </c>
      <c r="C48" s="14" t="s">
        <v>22</v>
      </c>
      <c r="D48" s="15"/>
      <c r="E48" s="15">
        <v>55.5</v>
      </c>
      <c r="F48" s="31">
        <f t="shared" si="0"/>
        <v>1579.4699999999996</v>
      </c>
    </row>
    <row r="49" spans="1:6" x14ac:dyDescent="0.25">
      <c r="A49" s="30">
        <v>45732</v>
      </c>
      <c r="B49" s="13" t="str">
        <f>TEXT(Tabella3[[#This Row],[DATA]],"mmmm")&amp;" "&amp;TEXT(Tabella3[[#This Row],[DATA]],"aaaa")</f>
        <v>marzo 2025</v>
      </c>
      <c r="C49" s="14" t="s">
        <v>7</v>
      </c>
      <c r="D49" s="15"/>
      <c r="E49" s="15">
        <v>19.399999999999999</v>
      </c>
      <c r="F49" s="31">
        <f t="shared" si="0"/>
        <v>1560.0699999999995</v>
      </c>
    </row>
    <row r="50" spans="1:6" x14ac:dyDescent="0.25">
      <c r="A50" s="30">
        <v>45732</v>
      </c>
      <c r="B50" s="13" t="str">
        <f>TEXT(Tabella3[[#This Row],[DATA]],"mmmm")&amp;" "&amp;TEXT(Tabella3[[#This Row],[DATA]],"aaaa")</f>
        <v>marzo 2025</v>
      </c>
      <c r="C50" s="14" t="s">
        <v>23</v>
      </c>
      <c r="D50" s="15"/>
      <c r="E50" s="15">
        <v>6.6</v>
      </c>
      <c r="F50" s="31">
        <f t="shared" si="0"/>
        <v>1553.4699999999996</v>
      </c>
    </row>
    <row r="51" spans="1:6" x14ac:dyDescent="0.25">
      <c r="A51" s="30">
        <v>45733</v>
      </c>
      <c r="B51" s="13" t="str">
        <f>TEXT(Tabella3[[#This Row],[DATA]],"mmmm")&amp;" "&amp;TEXT(Tabella3[[#This Row],[DATA]],"aaaa")</f>
        <v>marzo 2025</v>
      </c>
      <c r="C51" s="14" t="s">
        <v>25</v>
      </c>
      <c r="D51" s="15"/>
      <c r="E51" s="15">
        <v>268.89999999999998</v>
      </c>
      <c r="F51" s="31">
        <f t="shared" si="0"/>
        <v>1284.5699999999997</v>
      </c>
    </row>
    <row r="52" spans="1:6" x14ac:dyDescent="0.25">
      <c r="A52" s="30">
        <v>45733</v>
      </c>
      <c r="B52" s="13" t="str">
        <f>TEXT(Tabella3[[#This Row],[DATA]],"mmmm")&amp;" "&amp;TEXT(Tabella3[[#This Row],[DATA]],"aaaa")</f>
        <v>marzo 2025</v>
      </c>
      <c r="C52" s="14" t="s">
        <v>7</v>
      </c>
      <c r="D52" s="15"/>
      <c r="E52" s="15">
        <v>50</v>
      </c>
      <c r="F52" s="31">
        <f t="shared" si="0"/>
        <v>1234.5699999999997</v>
      </c>
    </row>
    <row r="53" spans="1:6" x14ac:dyDescent="0.25">
      <c r="A53" s="30">
        <v>45733</v>
      </c>
      <c r="B53" s="13" t="str">
        <f>TEXT(Tabella3[[#This Row],[DATA]],"mmmm")&amp;" "&amp;TEXT(Tabella3[[#This Row],[DATA]],"aaaa")</f>
        <v>marzo 2025</v>
      </c>
      <c r="C53" s="14" t="s">
        <v>9</v>
      </c>
      <c r="D53" s="15"/>
      <c r="E53" s="15">
        <v>100</v>
      </c>
      <c r="F53" s="31">
        <f t="shared" si="0"/>
        <v>1134.5699999999997</v>
      </c>
    </row>
    <row r="54" spans="1:6" x14ac:dyDescent="0.25">
      <c r="A54" s="30">
        <v>45747</v>
      </c>
      <c r="B54" s="13" t="str">
        <f>TEXT(Tabella3[[#This Row],[DATA]],"mmmm")&amp;" "&amp;TEXT(Tabella3[[#This Row],[DATA]],"aaaa")</f>
        <v>marzo 2025</v>
      </c>
      <c r="C54" s="14" t="s">
        <v>18</v>
      </c>
      <c r="D54" s="15"/>
      <c r="E54" s="15">
        <v>307.01</v>
      </c>
      <c r="F54" s="31">
        <f t="shared" si="0"/>
        <v>827.55999999999972</v>
      </c>
    </row>
    <row r="55" spans="1:6" x14ac:dyDescent="0.25">
      <c r="A55" s="30">
        <v>45750</v>
      </c>
      <c r="B55" s="13" t="str">
        <f>TEXT(Tabella3[[#This Row],[DATA]],"mmmm")&amp;" "&amp;TEXT(Tabella3[[#This Row],[DATA]],"aaaa")</f>
        <v>aprile 2025</v>
      </c>
      <c r="C55" s="14" t="s">
        <v>6</v>
      </c>
      <c r="D55" s="15"/>
      <c r="E55" s="15">
        <v>2.7</v>
      </c>
      <c r="F55" s="31">
        <f t="shared" si="0"/>
        <v>824.85999999999967</v>
      </c>
    </row>
    <row r="56" spans="1:6" x14ac:dyDescent="0.25">
      <c r="A56" s="30">
        <v>45751</v>
      </c>
      <c r="B56" s="13" t="str">
        <f>TEXT(Tabella3[[#This Row],[DATA]],"mmmm")&amp;" "&amp;TEXT(Tabella3[[#This Row],[DATA]],"aaaa")</f>
        <v>aprile 2025</v>
      </c>
      <c r="C56" s="14" t="s">
        <v>26</v>
      </c>
      <c r="D56" s="15"/>
      <c r="E56" s="15">
        <v>18.98</v>
      </c>
      <c r="F56" s="31">
        <f t="shared" si="0"/>
        <v>805.87999999999965</v>
      </c>
    </row>
    <row r="57" spans="1:6" x14ac:dyDescent="0.25">
      <c r="A57" s="30">
        <v>45752</v>
      </c>
      <c r="B57" s="13" t="str">
        <f>TEXT(Tabella3[[#This Row],[DATA]],"mmmm")&amp;" "&amp;TEXT(Tabella3[[#This Row],[DATA]],"aaaa")</f>
        <v>aprile 2025</v>
      </c>
      <c r="C57" s="14" t="s">
        <v>16</v>
      </c>
      <c r="D57" s="15"/>
      <c r="E57" s="15">
        <v>57.48</v>
      </c>
      <c r="F57" s="31">
        <f t="shared" si="0"/>
        <v>748.39999999999964</v>
      </c>
    </row>
    <row r="58" spans="1:6" x14ac:dyDescent="0.25">
      <c r="A58" s="30">
        <v>45752</v>
      </c>
      <c r="B58" s="13" t="str">
        <f>TEXT(Tabella3[[#This Row],[DATA]],"mmmm")&amp;" "&amp;TEXT(Tabella3[[#This Row],[DATA]],"aaaa")</f>
        <v>aprile 2025</v>
      </c>
      <c r="C58" s="14" t="s">
        <v>27</v>
      </c>
      <c r="D58" s="15"/>
      <c r="E58" s="15">
        <v>22</v>
      </c>
      <c r="F58" s="31">
        <f t="shared" si="0"/>
        <v>726.39999999999964</v>
      </c>
    </row>
    <row r="59" spans="1:6" x14ac:dyDescent="0.25">
      <c r="A59" s="30">
        <v>45754</v>
      </c>
      <c r="B59" s="13" t="str">
        <f>TEXT(Tabella3[[#This Row],[DATA]],"mmmm")&amp;" "&amp;TEXT(Tabella3[[#This Row],[DATA]],"aaaa")</f>
        <v>aprile 2025</v>
      </c>
      <c r="C59" s="14" t="s">
        <v>9</v>
      </c>
      <c r="D59" s="15"/>
      <c r="E59" s="15">
        <v>100</v>
      </c>
      <c r="F59" s="31">
        <f t="shared" si="0"/>
        <v>626.39999999999964</v>
      </c>
    </row>
    <row r="60" spans="1:6" x14ac:dyDescent="0.25">
      <c r="A60" s="30">
        <v>45754</v>
      </c>
      <c r="B60" s="13" t="str">
        <f>TEXT(Tabella3[[#This Row],[DATA]],"mmmm")&amp;" "&amp;TEXT(Tabella3[[#This Row],[DATA]],"aaaa")</f>
        <v>aprile 2025</v>
      </c>
      <c r="C60" s="14" t="s">
        <v>23</v>
      </c>
      <c r="D60" s="15"/>
      <c r="E60" s="15">
        <v>3.3</v>
      </c>
      <c r="F60" s="31">
        <f t="shared" si="0"/>
        <v>623.09999999999968</v>
      </c>
    </row>
    <row r="61" spans="1:6" x14ac:dyDescent="0.25">
      <c r="A61" s="30">
        <v>45754</v>
      </c>
      <c r="B61" s="13" t="str">
        <f>TEXT(Tabella3[[#This Row],[DATA]],"mmmm")&amp;" "&amp;TEXT(Tabella3[[#This Row],[DATA]],"aaaa")</f>
        <v>aprile 2025</v>
      </c>
      <c r="C61" s="14" t="s">
        <v>11</v>
      </c>
      <c r="D61" s="15"/>
      <c r="E61" s="15">
        <v>500.5</v>
      </c>
      <c r="F61" s="31">
        <f t="shared" si="0"/>
        <v>122.59999999999968</v>
      </c>
    </row>
    <row r="62" spans="1:6" x14ac:dyDescent="0.25">
      <c r="A62" s="30">
        <v>45755</v>
      </c>
      <c r="B62" s="13" t="str">
        <f>TEXT(Tabella3[[#This Row],[DATA]],"mmmm")&amp;" "&amp;TEXT(Tabella3[[#This Row],[DATA]],"aaaa")</f>
        <v>aprile 2025</v>
      </c>
      <c r="C62" s="14" t="s">
        <v>8</v>
      </c>
      <c r="D62" s="15"/>
      <c r="E62" s="15">
        <v>47.77</v>
      </c>
      <c r="F62" s="31">
        <f t="shared" si="0"/>
        <v>74.829999999999671</v>
      </c>
    </row>
    <row r="63" spans="1:6" x14ac:dyDescent="0.25">
      <c r="A63" s="30">
        <v>45757</v>
      </c>
      <c r="B63" s="13" t="str">
        <f>TEXT(Tabella3[[#This Row],[DATA]],"mmmm")&amp;" "&amp;TEXT(Tabella3[[#This Row],[DATA]],"aaaa")</f>
        <v>aprile 2025</v>
      </c>
      <c r="C63" s="14" t="s">
        <v>6</v>
      </c>
      <c r="D63" s="15"/>
      <c r="E63" s="15">
        <v>15</v>
      </c>
      <c r="F63" s="31">
        <f t="shared" si="0"/>
        <v>59.829999999999671</v>
      </c>
    </row>
    <row r="64" spans="1:6" x14ac:dyDescent="0.25">
      <c r="A64" s="30">
        <v>45757</v>
      </c>
      <c r="B64" s="13" t="str">
        <f>TEXT(Tabella3[[#This Row],[DATA]],"mmmm")&amp;" "&amp;TEXT(Tabella3[[#This Row],[DATA]],"aaaa")</f>
        <v>aprile 2025</v>
      </c>
      <c r="C64" s="14" t="s">
        <v>10</v>
      </c>
      <c r="D64" s="15">
        <v>1893</v>
      </c>
      <c r="E64" s="15"/>
      <c r="F64" s="31">
        <f t="shared" si="0"/>
        <v>1952.8299999999997</v>
      </c>
    </row>
    <row r="65" spans="1:6" x14ac:dyDescent="0.25">
      <c r="A65" s="30">
        <v>45763</v>
      </c>
      <c r="B65" s="13" t="str">
        <f>TEXT(Tabella3[[#This Row],[DATA]],"mmmm")&amp;" "&amp;TEXT(Tabella3[[#This Row],[DATA]],"aaaa")</f>
        <v>aprile 2025</v>
      </c>
      <c r="C65" s="14" t="s">
        <v>15</v>
      </c>
      <c r="D65" s="15"/>
      <c r="E65" s="15">
        <f>96.12+8.3</f>
        <v>104.42</v>
      </c>
      <c r="F65" s="31">
        <f t="shared" si="0"/>
        <v>1848.4099999999996</v>
      </c>
    </row>
    <row r="66" spans="1:6" x14ac:dyDescent="0.25">
      <c r="A66" s="30">
        <v>45763</v>
      </c>
      <c r="B66" s="13" t="str">
        <f>TEXT(Tabella3[[#This Row],[DATA]],"mmmm")&amp;" "&amp;TEXT(Tabella3[[#This Row],[DATA]],"aaaa")</f>
        <v>aprile 2025</v>
      </c>
      <c r="C66" s="14" t="s">
        <v>19</v>
      </c>
      <c r="D66" s="15"/>
      <c r="E66" s="15">
        <v>46.24</v>
      </c>
      <c r="F66" s="31">
        <f t="shared" si="0"/>
        <v>1802.1699999999996</v>
      </c>
    </row>
    <row r="67" spans="1:6" x14ac:dyDescent="0.25">
      <c r="A67" s="30">
        <v>45763</v>
      </c>
      <c r="B67" s="13" t="str">
        <f>TEXT(Tabella3[[#This Row],[DATA]],"mmmm")&amp;" "&amp;TEXT(Tabella3[[#This Row],[DATA]],"aaaa")</f>
        <v>aprile 2025</v>
      </c>
      <c r="C67" s="14" t="s">
        <v>13</v>
      </c>
      <c r="D67" s="15"/>
      <c r="E67" s="15">
        <v>4.25</v>
      </c>
      <c r="F67" s="31">
        <f t="shared" ref="F67:F130" si="1">F66-E67+D67</f>
        <v>1797.9199999999996</v>
      </c>
    </row>
    <row r="68" spans="1:6" x14ac:dyDescent="0.25">
      <c r="A68" s="30">
        <v>45763</v>
      </c>
      <c r="B68" s="13" t="str">
        <f>TEXT(Tabella3[[#This Row],[DATA]],"mmmm")&amp;" "&amp;TEXT(Tabella3[[#This Row],[DATA]],"aaaa")</f>
        <v>aprile 2025</v>
      </c>
      <c r="C68" s="14" t="s">
        <v>22</v>
      </c>
      <c r="D68" s="15"/>
      <c r="E68" s="15">
        <v>53.5</v>
      </c>
      <c r="F68" s="31">
        <f t="shared" si="1"/>
        <v>1744.4199999999996</v>
      </c>
    </row>
    <row r="69" spans="1:6" x14ac:dyDescent="0.25">
      <c r="A69" s="30">
        <v>45763</v>
      </c>
      <c r="B69" s="13" t="str">
        <f>TEXT(Tabella3[[#This Row],[DATA]],"mmmm")&amp;" "&amp;TEXT(Tabella3[[#This Row],[DATA]],"aaaa")</f>
        <v>aprile 2025</v>
      </c>
      <c r="C69" s="14" t="s">
        <v>28</v>
      </c>
      <c r="D69" s="15"/>
      <c r="E69" s="15">
        <v>50.09</v>
      </c>
      <c r="F69" s="31">
        <f t="shared" si="1"/>
        <v>1694.3299999999997</v>
      </c>
    </row>
    <row r="70" spans="1:6" x14ac:dyDescent="0.25">
      <c r="A70" s="30">
        <v>45763</v>
      </c>
      <c r="B70" s="13" t="str">
        <f>TEXT(Tabella3[[#This Row],[DATA]],"mmmm")&amp;" "&amp;TEXT(Tabella3[[#This Row],[DATA]],"aaaa")</f>
        <v>aprile 2025</v>
      </c>
      <c r="C70" s="14" t="s">
        <v>14</v>
      </c>
      <c r="D70" s="15"/>
      <c r="E70" s="15">
        <v>21</v>
      </c>
      <c r="F70" s="31">
        <f t="shared" si="1"/>
        <v>1673.3299999999997</v>
      </c>
    </row>
    <row r="71" spans="1:6" x14ac:dyDescent="0.25">
      <c r="A71" s="30">
        <v>45763</v>
      </c>
      <c r="B71" s="13" t="str">
        <f>TEXT(Tabella3[[#This Row],[DATA]],"mmmm")&amp;" "&amp;TEXT(Tabella3[[#This Row],[DATA]],"aaaa")</f>
        <v>aprile 2025</v>
      </c>
      <c r="C71" s="14" t="s">
        <v>12</v>
      </c>
      <c r="D71" s="15"/>
      <c r="E71" s="15">
        <v>10</v>
      </c>
      <c r="F71" s="31">
        <f t="shared" si="1"/>
        <v>1663.3299999999997</v>
      </c>
    </row>
    <row r="72" spans="1:6" x14ac:dyDescent="0.25">
      <c r="A72" s="30">
        <v>45763</v>
      </c>
      <c r="B72" s="13" t="str">
        <f>TEXT(Tabella3[[#This Row],[DATA]],"mmmm")&amp;" "&amp;TEXT(Tabella3[[#This Row],[DATA]],"aaaa")</f>
        <v>aprile 2025</v>
      </c>
      <c r="C72" s="14" t="s">
        <v>29</v>
      </c>
      <c r="D72" s="15"/>
      <c r="E72" s="15">
        <v>500</v>
      </c>
      <c r="F72" s="31">
        <f t="shared" si="1"/>
        <v>1163.3299999999997</v>
      </c>
    </row>
    <row r="73" spans="1:6" x14ac:dyDescent="0.25">
      <c r="A73" s="30">
        <v>45763</v>
      </c>
      <c r="B73" s="13" t="str">
        <f>TEXT(Tabella3[[#This Row],[DATA]],"mmmm")&amp;" "&amp;TEXT(Tabella3[[#This Row],[DATA]],"aaaa")</f>
        <v>aprile 2025</v>
      </c>
      <c r="C73" s="14" t="s">
        <v>22</v>
      </c>
      <c r="D73" s="15"/>
      <c r="E73" s="15">
        <v>56.5</v>
      </c>
      <c r="F73" s="31">
        <f t="shared" si="1"/>
        <v>1106.8299999999997</v>
      </c>
    </row>
    <row r="74" spans="1:6" x14ac:dyDescent="0.25">
      <c r="A74" s="30">
        <v>45763</v>
      </c>
      <c r="B74" s="13" t="str">
        <f>TEXT(Tabella3[[#This Row],[DATA]],"mmmm")&amp;" "&amp;TEXT(Tabella3[[#This Row],[DATA]],"aaaa")</f>
        <v>aprile 2025</v>
      </c>
      <c r="C74" s="14" t="s">
        <v>22</v>
      </c>
      <c r="D74" s="15"/>
      <c r="E74" s="15">
        <v>38.5</v>
      </c>
      <c r="F74" s="31">
        <f t="shared" si="1"/>
        <v>1068.3299999999997</v>
      </c>
    </row>
    <row r="75" spans="1:6" x14ac:dyDescent="0.25">
      <c r="A75" s="30">
        <v>45765</v>
      </c>
      <c r="B75" s="13" t="str">
        <f>TEXT(Tabella3[[#This Row],[DATA]],"mmmm")&amp;" "&amp;TEXT(Tabella3[[#This Row],[DATA]],"aaaa")</f>
        <v>aprile 2025</v>
      </c>
      <c r="C75" s="14" t="s">
        <v>7</v>
      </c>
      <c r="D75" s="15"/>
      <c r="E75" s="15">
        <v>65.03</v>
      </c>
      <c r="F75" s="31">
        <f t="shared" si="1"/>
        <v>1003.2999999999997</v>
      </c>
    </row>
    <row r="76" spans="1:6" x14ac:dyDescent="0.25">
      <c r="A76" s="30">
        <v>45774</v>
      </c>
      <c r="B76" s="13" t="str">
        <f>TEXT(Tabella3[[#This Row],[DATA]],"mmmm")&amp;" "&amp;TEXT(Tabella3[[#This Row],[DATA]],"aaaa")</f>
        <v>aprile 2025</v>
      </c>
      <c r="C76" s="14" t="s">
        <v>9</v>
      </c>
      <c r="D76" s="15"/>
      <c r="E76" s="15">
        <v>50</v>
      </c>
      <c r="F76" s="31">
        <f t="shared" si="1"/>
        <v>953.29999999999973</v>
      </c>
    </row>
    <row r="77" spans="1:6" x14ac:dyDescent="0.25">
      <c r="A77" s="30">
        <v>45776</v>
      </c>
      <c r="B77" s="13" t="str">
        <f>TEXT(Tabella3[[#This Row],[DATA]],"mmmm")&amp;" "&amp;TEXT(Tabella3[[#This Row],[DATA]],"aaaa")</f>
        <v>aprile 2025</v>
      </c>
      <c r="C77" s="14" t="s">
        <v>30</v>
      </c>
      <c r="D77" s="15">
        <v>1.02</v>
      </c>
      <c r="E77" s="15"/>
      <c r="F77" s="31">
        <f t="shared" si="1"/>
        <v>954.31999999999971</v>
      </c>
    </row>
    <row r="78" spans="1:6" x14ac:dyDescent="0.25">
      <c r="A78" s="30">
        <v>45777</v>
      </c>
      <c r="B78" s="13" t="str">
        <f>TEXT(Tabella3[[#This Row],[DATA]],"mmmm")&amp;" "&amp;TEXT(Tabella3[[#This Row],[DATA]],"aaaa")</f>
        <v>aprile 2025</v>
      </c>
      <c r="C78" s="14" t="s">
        <v>18</v>
      </c>
      <c r="D78" s="15"/>
      <c r="E78" s="15">
        <v>307.01</v>
      </c>
      <c r="F78" s="31">
        <f t="shared" si="1"/>
        <v>647.30999999999972</v>
      </c>
    </row>
    <row r="79" spans="1:6" x14ac:dyDescent="0.25">
      <c r="A79" s="30">
        <v>45780</v>
      </c>
      <c r="B79" s="13" t="str">
        <f>TEXT(Tabella3[[#This Row],[DATA]],"mmmm")&amp;" "&amp;TEXT(Tabella3[[#This Row],[DATA]],"aaaa")</f>
        <v>maggio 2025</v>
      </c>
      <c r="C79" s="14"/>
      <c r="D79" s="15"/>
      <c r="E79" s="15">
        <v>14.3</v>
      </c>
      <c r="F79" s="31">
        <f t="shared" si="1"/>
        <v>633.00999999999976</v>
      </c>
    </row>
    <row r="80" spans="1:6" x14ac:dyDescent="0.25">
      <c r="A80" s="30">
        <v>45781</v>
      </c>
      <c r="B80" s="13" t="str">
        <f>TEXT(Tabella3[[#This Row],[DATA]],"mmmm")&amp;" "&amp;TEXT(Tabella3[[#This Row],[DATA]],"aaaa")</f>
        <v>maggio 2025</v>
      </c>
      <c r="C80" s="14" t="s">
        <v>9</v>
      </c>
      <c r="D80" s="15"/>
      <c r="E80" s="15">
        <v>52</v>
      </c>
      <c r="F80" s="31">
        <f t="shared" si="1"/>
        <v>581.00999999999976</v>
      </c>
    </row>
    <row r="81" spans="1:6" x14ac:dyDescent="0.25">
      <c r="A81" s="30">
        <v>45782</v>
      </c>
      <c r="B81" s="13" t="str">
        <f>TEXT(Tabella3[[#This Row],[DATA]],"mmmm")&amp;" "&amp;TEXT(Tabella3[[#This Row],[DATA]],"aaaa")</f>
        <v>maggio 2025</v>
      </c>
      <c r="C81" s="14" t="s">
        <v>11</v>
      </c>
      <c r="D81" s="15"/>
      <c r="E81" s="15">
        <v>500.5</v>
      </c>
      <c r="F81" s="31">
        <f t="shared" si="1"/>
        <v>80.509999999999764</v>
      </c>
    </row>
    <row r="82" spans="1:6" x14ac:dyDescent="0.25">
      <c r="A82" s="30">
        <v>45784</v>
      </c>
      <c r="B82" s="13" t="str">
        <f>TEXT(Tabella3[[#This Row],[DATA]],"mmmm")&amp;" "&amp;TEXT(Tabella3[[#This Row],[DATA]],"aaaa")</f>
        <v>maggio 2025</v>
      </c>
      <c r="C82" s="14" t="s">
        <v>6</v>
      </c>
      <c r="D82" s="15"/>
      <c r="E82" s="15">
        <v>12</v>
      </c>
      <c r="F82" s="31">
        <f t="shared" si="1"/>
        <v>68.509999999999764</v>
      </c>
    </row>
    <row r="83" spans="1:6" x14ac:dyDescent="0.25">
      <c r="A83" s="30">
        <v>45785</v>
      </c>
      <c r="B83" s="13" t="str">
        <f>TEXT(Tabella3[[#This Row],[DATA]],"mmmm")&amp;" "&amp;TEXT(Tabella3[[#This Row],[DATA]],"aaaa")</f>
        <v>maggio 2025</v>
      </c>
      <c r="C83" s="14" t="s">
        <v>8</v>
      </c>
      <c r="D83" s="15"/>
      <c r="E83" s="15">
        <v>54.17</v>
      </c>
      <c r="F83" s="31">
        <f t="shared" si="1"/>
        <v>14.339999999999762</v>
      </c>
    </row>
    <row r="84" spans="1:6" x14ac:dyDescent="0.25">
      <c r="A84" s="30">
        <v>45789</v>
      </c>
      <c r="B84" s="13" t="str">
        <f>TEXT(Tabella3[[#This Row],[DATA]],"mmmm")&amp;" "&amp;TEXT(Tabella3[[#This Row],[DATA]],"aaaa")</f>
        <v>maggio 2025</v>
      </c>
      <c r="C84" s="14" t="s">
        <v>10</v>
      </c>
      <c r="D84" s="15">
        <v>1981</v>
      </c>
      <c r="E84" s="15"/>
      <c r="F84" s="31">
        <f t="shared" si="1"/>
        <v>1995.3399999999997</v>
      </c>
    </row>
    <row r="85" spans="1:6" x14ac:dyDescent="0.25">
      <c r="A85" s="30">
        <v>45789</v>
      </c>
      <c r="B85" s="13" t="str">
        <f>TEXT(Tabella3[[#This Row],[DATA]],"mmmm")&amp;" "&amp;TEXT(Tabella3[[#This Row],[DATA]],"aaaa")</f>
        <v>maggio 2025</v>
      </c>
      <c r="C85" s="14" t="s">
        <v>11</v>
      </c>
      <c r="D85" s="15"/>
      <c r="E85" s="15">
        <v>500.5</v>
      </c>
      <c r="F85" s="31">
        <f t="shared" si="1"/>
        <v>1494.8399999999997</v>
      </c>
    </row>
    <row r="86" spans="1:6" x14ac:dyDescent="0.25">
      <c r="A86" s="30">
        <v>45792</v>
      </c>
      <c r="B86" s="13" t="str">
        <f>TEXT(Tabella3[[#This Row],[DATA]],"mmmm")&amp;" "&amp;TEXT(Tabella3[[#This Row],[DATA]],"aaaa")</f>
        <v>maggio 2025</v>
      </c>
      <c r="C86" s="14" t="s">
        <v>15</v>
      </c>
      <c r="D86" s="15"/>
      <c r="E86" s="15">
        <f>96.12+8.3</f>
        <v>104.42</v>
      </c>
      <c r="F86" s="31">
        <f t="shared" si="1"/>
        <v>1390.4199999999996</v>
      </c>
    </row>
    <row r="87" spans="1:6" x14ac:dyDescent="0.25">
      <c r="A87" s="30">
        <v>45792</v>
      </c>
      <c r="B87" s="13" t="str">
        <f>TEXT(Tabella3[[#This Row],[DATA]],"mmmm")&amp;" "&amp;TEXT(Tabella3[[#This Row],[DATA]],"aaaa")</f>
        <v>maggio 2025</v>
      </c>
      <c r="C87" s="14" t="s">
        <v>13</v>
      </c>
      <c r="D87" s="15"/>
      <c r="E87" s="15">
        <v>4.25</v>
      </c>
      <c r="F87" s="31">
        <f t="shared" si="1"/>
        <v>1386.1699999999996</v>
      </c>
    </row>
    <row r="88" spans="1:6" x14ac:dyDescent="0.25">
      <c r="A88" s="30">
        <v>45792</v>
      </c>
      <c r="B88" s="13" t="str">
        <f>TEXT(Tabella3[[#This Row],[DATA]],"mmmm")&amp;" "&amp;TEXT(Tabella3[[#This Row],[DATA]],"aaaa")</f>
        <v>maggio 2025</v>
      </c>
      <c r="C88" s="14" t="s">
        <v>31</v>
      </c>
      <c r="D88" s="15"/>
      <c r="E88" s="15">
        <v>101.5</v>
      </c>
      <c r="F88" s="31">
        <f t="shared" si="1"/>
        <v>1284.6699999999996</v>
      </c>
    </row>
    <row r="89" spans="1:6" x14ac:dyDescent="0.25">
      <c r="A89" s="30">
        <v>45792</v>
      </c>
      <c r="B89" s="13" t="str">
        <f>TEXT(Tabella3[[#This Row],[DATA]],"mmmm")&amp;" "&amp;TEXT(Tabella3[[#This Row],[DATA]],"aaaa")</f>
        <v>maggio 2025</v>
      </c>
      <c r="C89" s="14" t="s">
        <v>14</v>
      </c>
      <c r="D89" s="15"/>
      <c r="E89" s="15">
        <v>48.92</v>
      </c>
      <c r="F89" s="31">
        <f t="shared" si="1"/>
        <v>1235.7499999999995</v>
      </c>
    </row>
    <row r="90" spans="1:6" x14ac:dyDescent="0.25">
      <c r="A90" s="30">
        <v>45792</v>
      </c>
      <c r="B90" s="13" t="str">
        <f>TEXT(Tabella3[[#This Row],[DATA]],"mmmm")&amp;" "&amp;TEXT(Tabella3[[#This Row],[DATA]],"aaaa")</f>
        <v>maggio 2025</v>
      </c>
      <c r="C90" s="14" t="s">
        <v>7</v>
      </c>
      <c r="D90" s="15"/>
      <c r="E90" s="15">
        <v>28.25</v>
      </c>
      <c r="F90" s="31">
        <f t="shared" si="1"/>
        <v>1207.4999999999995</v>
      </c>
    </row>
    <row r="91" spans="1:6" x14ac:dyDescent="0.25">
      <c r="A91" s="30">
        <v>45792</v>
      </c>
      <c r="B91" s="13" t="str">
        <f>TEXT(Tabella3[[#This Row],[DATA]],"mmmm")&amp;" "&amp;TEXT(Tabella3[[#This Row],[DATA]],"aaaa")</f>
        <v>maggio 2025</v>
      </c>
      <c r="C91" s="14" t="s">
        <v>22</v>
      </c>
      <c r="D91" s="15"/>
      <c r="E91" s="15">
        <v>56</v>
      </c>
      <c r="F91" s="31">
        <f t="shared" si="1"/>
        <v>1151.4999999999995</v>
      </c>
    </row>
    <row r="92" spans="1:6" x14ac:dyDescent="0.25">
      <c r="A92" s="30">
        <v>45792</v>
      </c>
      <c r="B92" s="13" t="str">
        <f>TEXT(Tabella3[[#This Row],[DATA]],"mmmm")&amp;" "&amp;TEXT(Tabella3[[#This Row],[DATA]],"aaaa")</f>
        <v>maggio 2025</v>
      </c>
      <c r="C92" s="14" t="s">
        <v>7</v>
      </c>
      <c r="D92" s="15"/>
      <c r="E92" s="15">
        <v>18.72</v>
      </c>
      <c r="F92" s="31">
        <f t="shared" si="1"/>
        <v>1132.7799999999995</v>
      </c>
    </row>
    <row r="93" spans="1:6" x14ac:dyDescent="0.25">
      <c r="A93" s="30">
        <v>45792</v>
      </c>
      <c r="B93" s="13" t="str">
        <f>TEXT(Tabella3[[#This Row],[DATA]],"mmmm")&amp;" "&amp;TEXT(Tabella3[[#This Row],[DATA]],"aaaa")</f>
        <v>maggio 2025</v>
      </c>
      <c r="C93" s="14" t="s">
        <v>7</v>
      </c>
      <c r="D93" s="15"/>
      <c r="E93" s="15">
        <v>28</v>
      </c>
      <c r="F93" s="31">
        <f t="shared" si="1"/>
        <v>1104.7799999999995</v>
      </c>
    </row>
    <row r="94" spans="1:6" x14ac:dyDescent="0.25">
      <c r="A94" s="30">
        <v>45792</v>
      </c>
      <c r="B94" s="13" t="str">
        <f>TEXT(Tabella3[[#This Row],[DATA]],"mmmm")&amp;" "&amp;TEXT(Tabella3[[#This Row],[DATA]],"aaaa")</f>
        <v>maggio 2025</v>
      </c>
      <c r="C94" s="14" t="s">
        <v>22</v>
      </c>
      <c r="D94" s="15"/>
      <c r="E94" s="15">
        <v>55</v>
      </c>
      <c r="F94" s="31">
        <f t="shared" si="1"/>
        <v>1049.7799999999995</v>
      </c>
    </row>
    <row r="95" spans="1:6" x14ac:dyDescent="0.25">
      <c r="A95" s="30">
        <v>45798</v>
      </c>
      <c r="B95" s="13" t="str">
        <f>TEXT(Tabella3[[#This Row],[DATA]],"mmmm")&amp;" "&amp;TEXT(Tabella3[[#This Row],[DATA]],"aaaa")</f>
        <v>maggio 2025</v>
      </c>
      <c r="C95" s="14" t="s">
        <v>7</v>
      </c>
      <c r="D95" s="15"/>
      <c r="E95" s="15">
        <v>30.44</v>
      </c>
      <c r="F95" s="31">
        <f t="shared" si="1"/>
        <v>1019.3399999999995</v>
      </c>
    </row>
    <row r="96" spans="1:6" x14ac:dyDescent="0.25">
      <c r="A96" s="30">
        <v>45801</v>
      </c>
      <c r="B96" s="13" t="str">
        <f>TEXT(Tabella3[[#This Row],[DATA]],"mmmm")&amp;" "&amp;TEXT(Tabella3[[#This Row],[DATA]],"aaaa")</f>
        <v>maggio 2025</v>
      </c>
      <c r="C96" s="14" t="s">
        <v>7</v>
      </c>
      <c r="D96" s="15"/>
      <c r="E96" s="15">
        <v>21.71</v>
      </c>
      <c r="F96" s="31">
        <f t="shared" si="1"/>
        <v>997.62999999999943</v>
      </c>
    </row>
    <row r="97" spans="1:6" x14ac:dyDescent="0.25">
      <c r="A97" s="30">
        <v>45801</v>
      </c>
      <c r="B97" s="13" t="str">
        <f>TEXT(Tabella3[[#This Row],[DATA]],"mmmm")&amp;" "&amp;TEXT(Tabella3[[#This Row],[DATA]],"aaaa")</f>
        <v>maggio 2025</v>
      </c>
      <c r="C97" s="14" t="s">
        <v>9</v>
      </c>
      <c r="D97" s="15"/>
      <c r="E97" s="15">
        <v>50</v>
      </c>
      <c r="F97" s="31">
        <f t="shared" si="1"/>
        <v>947.62999999999943</v>
      </c>
    </row>
    <row r="98" spans="1:6" x14ac:dyDescent="0.25">
      <c r="A98" s="30">
        <v>45804</v>
      </c>
      <c r="B98" s="13" t="str">
        <f>TEXT(Tabella3[[#This Row],[DATA]],"mmmm")&amp;" "&amp;TEXT(Tabella3[[#This Row],[DATA]],"aaaa")</f>
        <v>maggio 2025</v>
      </c>
      <c r="C98" s="14" t="s">
        <v>23</v>
      </c>
      <c r="D98" s="15"/>
      <c r="E98" s="15">
        <v>7.3</v>
      </c>
      <c r="F98" s="31">
        <f t="shared" si="1"/>
        <v>940.32999999999947</v>
      </c>
    </row>
    <row r="99" spans="1:6" x14ac:dyDescent="0.25">
      <c r="A99" s="30">
        <v>45805</v>
      </c>
      <c r="B99" s="13" t="str">
        <f>TEXT(Tabella3[[#This Row],[DATA]],"mmmm")&amp;" "&amp;TEXT(Tabella3[[#This Row],[DATA]],"aaaa")</f>
        <v>maggio 2025</v>
      </c>
      <c r="C99" s="14" t="s">
        <v>9</v>
      </c>
      <c r="D99" s="15"/>
      <c r="E99" s="15">
        <v>50</v>
      </c>
      <c r="F99" s="31">
        <f t="shared" si="1"/>
        <v>890.32999999999947</v>
      </c>
    </row>
    <row r="100" spans="1:6" x14ac:dyDescent="0.25">
      <c r="A100" s="30">
        <v>45808</v>
      </c>
      <c r="B100" s="13" t="str">
        <f>TEXT(Tabella3[[#This Row],[DATA]],"mmmm")&amp;" "&amp;TEXT(Tabella3[[#This Row],[DATA]],"aaaa")</f>
        <v>maggio 2025</v>
      </c>
      <c r="C100" s="14" t="s">
        <v>18</v>
      </c>
      <c r="D100" s="15"/>
      <c r="E100" s="15">
        <v>307.01</v>
      </c>
      <c r="F100" s="31">
        <f t="shared" si="1"/>
        <v>583.31999999999948</v>
      </c>
    </row>
    <row r="101" spans="1:6" x14ac:dyDescent="0.25">
      <c r="A101" s="30">
        <v>45808</v>
      </c>
      <c r="B101" s="13" t="str">
        <f>TEXT(Tabella3[[#This Row],[DATA]],"mmmm")&amp;" "&amp;TEXT(Tabella3[[#This Row],[DATA]],"aaaa")</f>
        <v>maggio 2025</v>
      </c>
      <c r="C101" s="14" t="s">
        <v>16</v>
      </c>
      <c r="D101" s="15"/>
      <c r="E101" s="15">
        <v>106.98</v>
      </c>
      <c r="F101" s="31">
        <f t="shared" si="1"/>
        <v>476.33999999999946</v>
      </c>
    </row>
    <row r="102" spans="1:6" x14ac:dyDescent="0.25">
      <c r="A102" s="30">
        <v>45809</v>
      </c>
      <c r="B102" s="13" t="str">
        <f>TEXT(Tabella3[[#This Row],[DATA]],"mmmm")&amp;" "&amp;TEXT(Tabella3[[#This Row],[DATA]],"aaaa")</f>
        <v>giugno 2025</v>
      </c>
      <c r="C102" s="14" t="s">
        <v>32</v>
      </c>
      <c r="D102" s="15"/>
      <c r="E102" s="15">
        <v>46</v>
      </c>
      <c r="F102" s="31">
        <f t="shared" si="1"/>
        <v>430.33999999999946</v>
      </c>
    </row>
    <row r="103" spans="1:6" x14ac:dyDescent="0.25">
      <c r="A103" s="30">
        <v>45811</v>
      </c>
      <c r="B103" s="13" t="str">
        <f>TEXT(Tabella3[[#This Row],[DATA]],"mmmm")&amp;" "&amp;TEXT(Tabella3[[#This Row],[DATA]],"aaaa")</f>
        <v>giugno 2025</v>
      </c>
      <c r="C103" s="14" t="s">
        <v>11</v>
      </c>
      <c r="D103" s="15"/>
      <c r="E103" s="15">
        <v>200.5</v>
      </c>
      <c r="F103" s="31">
        <f t="shared" si="1"/>
        <v>229.83999999999946</v>
      </c>
    </row>
    <row r="104" spans="1:6" x14ac:dyDescent="0.25">
      <c r="A104" s="30">
        <v>45812</v>
      </c>
      <c r="B104" s="13" t="str">
        <f>TEXT(Tabella3[[#This Row],[DATA]],"mmmm")&amp;" "&amp;TEXT(Tabella3[[#This Row],[DATA]],"aaaa")</f>
        <v>giugno 2025</v>
      </c>
      <c r="C104" s="14" t="s">
        <v>7</v>
      </c>
      <c r="D104" s="15"/>
      <c r="E104" s="15">
        <v>27.27</v>
      </c>
      <c r="F104" s="31">
        <f t="shared" si="1"/>
        <v>202.56999999999945</v>
      </c>
    </row>
    <row r="105" spans="1:6" x14ac:dyDescent="0.25">
      <c r="A105" s="30">
        <v>45816</v>
      </c>
      <c r="B105" s="13" t="str">
        <f>TEXT(Tabella3[[#This Row],[DATA]],"mmmm")&amp;" "&amp;TEXT(Tabella3[[#This Row],[DATA]],"aaaa")</f>
        <v>giugno 2025</v>
      </c>
      <c r="C105" s="14" t="s">
        <v>8</v>
      </c>
      <c r="D105" s="15"/>
      <c r="E105" s="15">
        <v>55.67</v>
      </c>
      <c r="F105" s="31">
        <f t="shared" si="1"/>
        <v>146.89999999999947</v>
      </c>
    </row>
    <row r="106" spans="1:6" x14ac:dyDescent="0.25">
      <c r="A106" s="30">
        <v>45816</v>
      </c>
      <c r="B106" s="13" t="str">
        <f>TEXT(Tabella3[[#This Row],[DATA]],"mmmm")&amp;" "&amp;TEXT(Tabella3[[#This Row],[DATA]],"aaaa")</f>
        <v>giugno 2025</v>
      </c>
      <c r="C106" s="14" t="s">
        <v>33</v>
      </c>
      <c r="D106" s="15"/>
      <c r="E106" s="15">
        <v>16.5</v>
      </c>
      <c r="F106" s="31">
        <f t="shared" si="1"/>
        <v>130.39999999999947</v>
      </c>
    </row>
    <row r="107" spans="1:6" x14ac:dyDescent="0.25">
      <c r="A107" s="30">
        <v>45816</v>
      </c>
      <c r="B107" s="13" t="str">
        <f>TEXT(Tabella3[[#This Row],[DATA]],"mmmm")&amp;" "&amp;TEXT(Tabella3[[#This Row],[DATA]],"aaaa")</f>
        <v>giugno 2025</v>
      </c>
      <c r="C107" s="14" t="s">
        <v>9</v>
      </c>
      <c r="D107" s="15"/>
      <c r="E107" s="15">
        <v>50</v>
      </c>
      <c r="F107" s="31">
        <f t="shared" si="1"/>
        <v>80.399999999999466</v>
      </c>
    </row>
    <row r="108" spans="1:6" x14ac:dyDescent="0.25">
      <c r="A108" s="30">
        <v>45816</v>
      </c>
      <c r="B108" s="13" t="str">
        <f>TEXT(Tabella3[[#This Row],[DATA]],"mmmm")&amp;" "&amp;TEXT(Tabella3[[#This Row],[DATA]],"aaaa")</f>
        <v>giugno 2025</v>
      </c>
      <c r="C108" s="14" t="s">
        <v>33</v>
      </c>
      <c r="D108" s="15"/>
      <c r="E108" s="15">
        <v>6</v>
      </c>
      <c r="F108" s="31">
        <f t="shared" si="1"/>
        <v>74.399999999999466</v>
      </c>
    </row>
    <row r="109" spans="1:6" x14ac:dyDescent="0.25">
      <c r="A109" s="30">
        <v>45816</v>
      </c>
      <c r="B109" s="13" t="str">
        <f>TEXT(Tabella3[[#This Row],[DATA]],"mmmm")&amp;" "&amp;TEXT(Tabella3[[#This Row],[DATA]],"aaaa")</f>
        <v>giugno 2025</v>
      </c>
      <c r="C109" s="14" t="s">
        <v>33</v>
      </c>
      <c r="D109" s="15"/>
      <c r="E109" s="15">
        <v>10</v>
      </c>
      <c r="F109" s="31">
        <f t="shared" si="1"/>
        <v>64.399999999999466</v>
      </c>
    </row>
    <row r="110" spans="1:6" x14ac:dyDescent="0.25">
      <c r="A110" s="30">
        <v>45816</v>
      </c>
      <c r="B110" s="13" t="str">
        <f>TEXT(Tabella3[[#This Row],[DATA]],"mmmm")&amp;" "&amp;TEXT(Tabella3[[#This Row],[DATA]],"aaaa")</f>
        <v>giugno 2025</v>
      </c>
      <c r="C110" s="14" t="s">
        <v>33</v>
      </c>
      <c r="D110" s="15"/>
      <c r="E110" s="15">
        <v>10</v>
      </c>
      <c r="F110" s="31">
        <f t="shared" si="1"/>
        <v>54.399999999999466</v>
      </c>
    </row>
    <row r="111" spans="1:6" x14ac:dyDescent="0.25">
      <c r="A111" s="30">
        <v>45816</v>
      </c>
      <c r="B111" s="13" t="str">
        <f>TEXT(Tabella3[[#This Row],[DATA]],"mmmm")&amp;" "&amp;TEXT(Tabella3[[#This Row],[DATA]],"aaaa")</f>
        <v>giugno 2025</v>
      </c>
      <c r="C111" s="14" t="s">
        <v>33</v>
      </c>
      <c r="D111" s="15"/>
      <c r="E111" s="15">
        <v>12</v>
      </c>
      <c r="F111" s="31">
        <f t="shared" si="1"/>
        <v>42.399999999999466</v>
      </c>
    </row>
    <row r="112" spans="1:6" x14ac:dyDescent="0.25">
      <c r="A112" s="30">
        <v>45816</v>
      </c>
      <c r="B112" s="13" t="str">
        <f>TEXT(Tabella3[[#This Row],[DATA]],"mmmm")&amp;" "&amp;TEXT(Tabella3[[#This Row],[DATA]],"aaaa")</f>
        <v>giugno 2025</v>
      </c>
      <c r="C112" s="14" t="s">
        <v>33</v>
      </c>
      <c r="D112" s="15"/>
      <c r="E112" s="15">
        <v>22</v>
      </c>
      <c r="F112" s="31">
        <f t="shared" si="1"/>
        <v>20.399999999999466</v>
      </c>
    </row>
    <row r="113" spans="1:6" x14ac:dyDescent="0.25">
      <c r="A113" s="30">
        <v>45818</v>
      </c>
      <c r="B113" s="13" t="str">
        <f>TEXT(Tabella3[[#This Row],[DATA]],"mmmm")&amp;" "&amp;TEXT(Tabella3[[#This Row],[DATA]],"aaaa")</f>
        <v>giugno 2025</v>
      </c>
      <c r="C113" s="14" t="s">
        <v>10</v>
      </c>
      <c r="D113" s="15">
        <v>1817</v>
      </c>
      <c r="E113" s="15"/>
      <c r="F113" s="31">
        <f t="shared" si="1"/>
        <v>1837.3999999999994</v>
      </c>
    </row>
    <row r="114" spans="1:6" x14ac:dyDescent="0.25">
      <c r="A114" s="30">
        <v>45819</v>
      </c>
      <c r="B114" s="13" t="str">
        <f>TEXT(Tabella3[[#This Row],[DATA]],"mmmm")&amp;" "&amp;TEXT(Tabella3[[#This Row],[DATA]],"aaaa")</f>
        <v>giugno 2025</v>
      </c>
      <c r="C114" s="14" t="s">
        <v>11</v>
      </c>
      <c r="D114" s="15"/>
      <c r="E114" s="15">
        <v>510</v>
      </c>
      <c r="F114" s="31">
        <f t="shared" si="1"/>
        <v>1327.3999999999994</v>
      </c>
    </row>
    <row r="115" spans="1:6" x14ac:dyDescent="0.25">
      <c r="A115" s="30">
        <v>45819</v>
      </c>
      <c r="B115" s="13" t="str">
        <f>TEXT(Tabella3[[#This Row],[DATA]],"mmmm")&amp;" "&amp;TEXT(Tabella3[[#This Row],[DATA]],"aaaa")</f>
        <v>giugno 2025</v>
      </c>
      <c r="C115" s="14" t="s">
        <v>34</v>
      </c>
      <c r="D115" s="15"/>
      <c r="E115" s="15">
        <v>70</v>
      </c>
      <c r="F115" s="31">
        <f t="shared" si="1"/>
        <v>1257.3999999999994</v>
      </c>
    </row>
    <row r="116" spans="1:6" x14ac:dyDescent="0.25">
      <c r="A116" s="30">
        <v>45819</v>
      </c>
      <c r="B116" s="13" t="str">
        <f>TEXT(Tabella3[[#This Row],[DATA]],"mmmm")&amp;" "&amp;TEXT(Tabella3[[#This Row],[DATA]],"aaaa")</f>
        <v>giugno 2025</v>
      </c>
      <c r="C116" s="14" t="s">
        <v>35</v>
      </c>
      <c r="D116" s="15"/>
      <c r="E116" s="15">
        <v>66.5</v>
      </c>
      <c r="F116" s="31">
        <f t="shared" si="1"/>
        <v>1190.8999999999994</v>
      </c>
    </row>
    <row r="117" spans="1:6" x14ac:dyDescent="0.25">
      <c r="A117" s="30">
        <v>45822</v>
      </c>
      <c r="B117" s="13" t="str">
        <f>TEXT(Tabella3[[#This Row],[DATA]],"mmmm")&amp;" "&amp;TEXT(Tabella3[[#This Row],[DATA]],"aaaa")</f>
        <v>giugno 2025</v>
      </c>
      <c r="C117" s="14" t="s">
        <v>7</v>
      </c>
      <c r="D117" s="15"/>
      <c r="E117" s="15">
        <v>20.6</v>
      </c>
      <c r="F117" s="31">
        <f t="shared" si="1"/>
        <v>1170.2999999999995</v>
      </c>
    </row>
    <row r="118" spans="1:6" x14ac:dyDescent="0.25">
      <c r="A118" s="30">
        <v>45822</v>
      </c>
      <c r="B118" s="13" t="str">
        <f>TEXT(Tabella3[[#This Row],[DATA]],"mmmm")&amp;" "&amp;TEXT(Tabella3[[#This Row],[DATA]],"aaaa")</f>
        <v>giugno 2025</v>
      </c>
      <c r="C118" s="14" t="s">
        <v>16</v>
      </c>
      <c r="D118" s="15"/>
      <c r="E118" s="15">
        <v>70.78</v>
      </c>
      <c r="F118" s="31">
        <f t="shared" si="1"/>
        <v>1099.5199999999995</v>
      </c>
    </row>
    <row r="119" spans="1:6" x14ac:dyDescent="0.25">
      <c r="A119" s="30">
        <v>45824</v>
      </c>
      <c r="B119" s="13" t="str">
        <f>TEXT(Tabella3[[#This Row],[DATA]],"mmmm")&amp;" "&amp;TEXT(Tabella3[[#This Row],[DATA]],"aaaa")</f>
        <v>giugno 2025</v>
      </c>
      <c r="C119" s="14" t="s">
        <v>28</v>
      </c>
      <c r="D119" s="15"/>
      <c r="E119" s="15">
        <v>60.02</v>
      </c>
      <c r="F119" s="31">
        <f t="shared" si="1"/>
        <v>1039.4999999999995</v>
      </c>
    </row>
    <row r="120" spans="1:6" x14ac:dyDescent="0.25">
      <c r="A120" s="30">
        <v>45824</v>
      </c>
      <c r="B120" s="13" t="str">
        <f>TEXT(Tabella3[[#This Row],[DATA]],"mmmm")&amp;" "&amp;TEXT(Tabella3[[#This Row],[DATA]],"aaaa")</f>
        <v>giugno 2025</v>
      </c>
      <c r="C120" s="14" t="s">
        <v>36</v>
      </c>
      <c r="D120" s="15"/>
      <c r="E120" s="15">
        <v>519</v>
      </c>
      <c r="F120" s="31">
        <f t="shared" si="1"/>
        <v>520.49999999999955</v>
      </c>
    </row>
    <row r="121" spans="1:6" x14ac:dyDescent="0.25">
      <c r="A121" s="30">
        <v>45824</v>
      </c>
      <c r="B121" s="13" t="str">
        <f>TEXT(Tabella3[[#This Row],[DATA]],"mmmm")&amp;" "&amp;TEXT(Tabella3[[#This Row],[DATA]],"aaaa")</f>
        <v>giugno 2025</v>
      </c>
      <c r="C121" s="14" t="s">
        <v>37</v>
      </c>
      <c r="D121" s="15"/>
      <c r="E121" s="15">
        <v>31.67</v>
      </c>
      <c r="F121" s="31">
        <f t="shared" si="1"/>
        <v>488.82999999999953</v>
      </c>
    </row>
    <row r="122" spans="1:6" x14ac:dyDescent="0.25">
      <c r="A122" s="30">
        <v>45824</v>
      </c>
      <c r="B122" s="13" t="str">
        <f>TEXT(Tabella3[[#This Row],[DATA]],"mmmm")&amp;" "&amp;TEXT(Tabella3[[#This Row],[DATA]],"aaaa")</f>
        <v>giugno 2025</v>
      </c>
      <c r="C122" s="14" t="s">
        <v>15</v>
      </c>
      <c r="D122" s="15"/>
      <c r="E122" s="15">
        <f>96.12+8.3</f>
        <v>104.42</v>
      </c>
      <c r="F122" s="31">
        <f t="shared" si="1"/>
        <v>384.40999999999951</v>
      </c>
    </row>
    <row r="123" spans="1:6" x14ac:dyDescent="0.25">
      <c r="A123" s="30">
        <v>45824</v>
      </c>
      <c r="B123" s="13" t="str">
        <f>TEXT(Tabella3[[#This Row],[DATA]],"mmmm")&amp;" "&amp;TEXT(Tabella3[[#This Row],[DATA]],"aaaa")</f>
        <v>giugno 2025</v>
      </c>
      <c r="C123" s="14" t="s">
        <v>15</v>
      </c>
      <c r="D123" s="15"/>
      <c r="E123" s="15">
        <f>83.39+4.6</f>
        <v>87.99</v>
      </c>
      <c r="F123" s="31">
        <f t="shared" si="1"/>
        <v>296.4199999999995</v>
      </c>
    </row>
    <row r="124" spans="1:6" x14ac:dyDescent="0.25">
      <c r="A124" s="30">
        <v>45824</v>
      </c>
      <c r="B124" s="13" t="str">
        <f>TEXT(Tabella3[[#This Row],[DATA]],"mmmm")&amp;" "&amp;TEXT(Tabella3[[#This Row],[DATA]],"aaaa")</f>
        <v>giugno 2025</v>
      </c>
      <c r="C124" s="14" t="s">
        <v>13</v>
      </c>
      <c r="D124" s="15"/>
      <c r="E124" s="15">
        <v>4.99</v>
      </c>
      <c r="F124" s="31">
        <f t="shared" si="1"/>
        <v>291.4299999999995</v>
      </c>
    </row>
    <row r="125" spans="1:6" x14ac:dyDescent="0.25">
      <c r="A125" s="30">
        <v>45824</v>
      </c>
      <c r="B125" s="13" t="str">
        <f>TEXT(Tabella3[[#This Row],[DATA]],"mmmm")&amp;" "&amp;TEXT(Tabella3[[#This Row],[DATA]],"aaaa")</f>
        <v>giugno 2025</v>
      </c>
      <c r="C125" s="14" t="s">
        <v>38</v>
      </c>
      <c r="D125" s="15"/>
      <c r="E125" s="15">
        <v>34.799999999999997</v>
      </c>
      <c r="F125" s="31">
        <f t="shared" si="1"/>
        <v>256.62999999999948</v>
      </c>
    </row>
    <row r="126" spans="1:6" x14ac:dyDescent="0.25">
      <c r="A126" s="30">
        <v>45824</v>
      </c>
      <c r="B126" s="13" t="str">
        <f>TEXT(Tabella3[[#This Row],[DATA]],"mmmm")&amp;" "&amp;TEXT(Tabella3[[#This Row],[DATA]],"aaaa")</f>
        <v>giugno 2025</v>
      </c>
      <c r="C126" s="14" t="s">
        <v>39</v>
      </c>
      <c r="D126" s="15"/>
      <c r="E126" s="15">
        <v>11.5</v>
      </c>
      <c r="F126" s="31">
        <f t="shared" si="1"/>
        <v>245.12999999999948</v>
      </c>
    </row>
    <row r="127" spans="1:6" x14ac:dyDescent="0.25">
      <c r="A127" s="30">
        <v>45824</v>
      </c>
      <c r="B127" s="13" t="str">
        <f>TEXT(Tabella3[[#This Row],[DATA]],"mmmm")&amp;" "&amp;TEXT(Tabella3[[#This Row],[DATA]],"aaaa")</f>
        <v>giugno 2025</v>
      </c>
      <c r="C127" s="14" t="s">
        <v>40</v>
      </c>
      <c r="D127" s="15"/>
      <c r="E127" s="15">
        <v>15</v>
      </c>
      <c r="F127" s="31">
        <f t="shared" si="1"/>
        <v>230.12999999999948</v>
      </c>
    </row>
    <row r="128" spans="1:6" x14ac:dyDescent="0.25">
      <c r="A128" s="30">
        <v>45824</v>
      </c>
      <c r="B128" s="13" t="str">
        <f>TEXT(Tabella3[[#This Row],[DATA]],"mmmm")&amp;" "&amp;TEXT(Tabella3[[#This Row],[DATA]],"aaaa")</f>
        <v>giugno 2025</v>
      </c>
      <c r="C128" s="14" t="s">
        <v>41</v>
      </c>
      <c r="D128" s="15"/>
      <c r="E128" s="15">
        <v>89.5</v>
      </c>
      <c r="F128" s="31">
        <f t="shared" si="1"/>
        <v>140.62999999999948</v>
      </c>
    </row>
    <row r="129" spans="1:6" x14ac:dyDescent="0.25">
      <c r="A129" s="30">
        <v>45824</v>
      </c>
      <c r="B129" s="13" t="str">
        <f>TEXT(Tabella3[[#This Row],[DATA]],"mmmm")&amp;" "&amp;TEXT(Tabella3[[#This Row],[DATA]],"aaaa")</f>
        <v>giugno 2025</v>
      </c>
      <c r="C129" s="14" t="s">
        <v>7</v>
      </c>
      <c r="D129" s="15"/>
      <c r="E129" s="15">
        <v>29.01</v>
      </c>
      <c r="F129" s="31">
        <f t="shared" si="1"/>
        <v>111.61999999999948</v>
      </c>
    </row>
    <row r="130" spans="1:6" x14ac:dyDescent="0.25">
      <c r="A130" s="30">
        <v>45824</v>
      </c>
      <c r="B130" s="13" t="str">
        <f>TEXT(Tabella3[[#This Row],[DATA]],"mmmm")&amp;" "&amp;TEXT(Tabella3[[#This Row],[DATA]],"aaaa")</f>
        <v>giugno 2025</v>
      </c>
      <c r="C130" s="14" t="s">
        <v>42</v>
      </c>
      <c r="D130" s="15"/>
      <c r="E130" s="15">
        <v>44</v>
      </c>
      <c r="F130" s="31">
        <f t="shared" si="1"/>
        <v>67.619999999999479</v>
      </c>
    </row>
    <row r="131" spans="1:6" x14ac:dyDescent="0.25">
      <c r="A131" s="30">
        <v>45824</v>
      </c>
      <c r="B131" s="13" t="str">
        <f>TEXT(Tabella3[[#This Row],[DATA]],"mmmm")&amp;" "&amp;TEXT(Tabella3[[#This Row],[DATA]],"aaaa")</f>
        <v>giugno 2025</v>
      </c>
      <c r="C131" s="14" t="s">
        <v>43</v>
      </c>
      <c r="D131" s="15"/>
      <c r="E131" s="15">
        <v>142</v>
      </c>
      <c r="F131" s="31">
        <f t="shared" ref="F131:F194" si="2">F130-E131+D131</f>
        <v>-74.380000000000521</v>
      </c>
    </row>
    <row r="132" spans="1:6" x14ac:dyDescent="0.25">
      <c r="A132" s="30">
        <v>45824</v>
      </c>
      <c r="B132" s="13" t="str">
        <f>TEXT(Tabella3[[#This Row],[DATA]],"mmmm")&amp;" "&amp;TEXT(Tabella3[[#This Row],[DATA]],"aaaa")</f>
        <v>giugno 2025</v>
      </c>
      <c r="C132" s="14" t="s">
        <v>44</v>
      </c>
      <c r="D132" s="15"/>
      <c r="E132" s="15">
        <v>20.3</v>
      </c>
      <c r="F132" s="31">
        <f t="shared" si="2"/>
        <v>-94.680000000000518</v>
      </c>
    </row>
    <row r="133" spans="1:6" x14ac:dyDescent="0.25">
      <c r="A133" s="30">
        <v>45824</v>
      </c>
      <c r="B133" s="13" t="str">
        <f>TEXT(Tabella3[[#This Row],[DATA]],"mmmm")&amp;" "&amp;TEXT(Tabella3[[#This Row],[DATA]],"aaaa")</f>
        <v>giugno 2025</v>
      </c>
      <c r="C133" s="14" t="s">
        <v>22</v>
      </c>
      <c r="D133" s="15"/>
      <c r="E133" s="15">
        <v>39.5</v>
      </c>
      <c r="F133" s="31">
        <f t="shared" si="2"/>
        <v>-134.18000000000052</v>
      </c>
    </row>
    <row r="134" spans="1:6" x14ac:dyDescent="0.25">
      <c r="A134" s="30">
        <v>45824</v>
      </c>
      <c r="B134" s="13" t="str">
        <f>TEXT(Tabella3[[#This Row],[DATA]],"mmmm")&amp;" "&amp;TEXT(Tabella3[[#This Row],[DATA]],"aaaa")</f>
        <v>giugno 2025</v>
      </c>
      <c r="C134" s="14" t="s">
        <v>37</v>
      </c>
      <c r="D134" s="15"/>
      <c r="E134" s="15">
        <v>29.99</v>
      </c>
      <c r="F134" s="31">
        <f t="shared" si="2"/>
        <v>-164.17000000000053</v>
      </c>
    </row>
    <row r="135" spans="1:6" x14ac:dyDescent="0.25">
      <c r="A135" s="30">
        <v>45824</v>
      </c>
      <c r="B135" s="13" t="str">
        <f>TEXT(Tabella3[[#This Row],[DATA]],"mmmm")&amp;" "&amp;TEXT(Tabella3[[#This Row],[DATA]],"aaaa")</f>
        <v>giugno 2025</v>
      </c>
      <c r="C135" s="14" t="s">
        <v>12</v>
      </c>
      <c r="D135" s="15"/>
      <c r="E135" s="15">
        <v>10</v>
      </c>
      <c r="F135" s="31">
        <f t="shared" si="2"/>
        <v>-174.17000000000053</v>
      </c>
    </row>
    <row r="136" spans="1:6" x14ac:dyDescent="0.25">
      <c r="A136" s="30">
        <v>45824</v>
      </c>
      <c r="B136" s="13" t="str">
        <f>TEXT(Tabella3[[#This Row],[DATA]],"mmmm")&amp;" "&amp;TEXT(Tabella3[[#This Row],[DATA]],"aaaa")</f>
        <v>giugno 2025</v>
      </c>
      <c r="C136" s="14" t="s">
        <v>12</v>
      </c>
      <c r="D136" s="15"/>
      <c r="E136" s="15">
        <v>10</v>
      </c>
      <c r="F136" s="31">
        <f t="shared" si="2"/>
        <v>-184.17000000000053</v>
      </c>
    </row>
    <row r="137" spans="1:6" x14ac:dyDescent="0.25">
      <c r="A137" s="30">
        <v>45824</v>
      </c>
      <c r="B137" s="13" t="str">
        <f>TEXT(Tabella3[[#This Row],[DATA]],"mmmm")&amp;" "&amp;TEXT(Tabella3[[#This Row],[DATA]],"aaaa")</f>
        <v>giugno 2025</v>
      </c>
      <c r="C137" s="14" t="s">
        <v>7</v>
      </c>
      <c r="D137" s="15"/>
      <c r="E137" s="15">
        <v>26.3</v>
      </c>
      <c r="F137" s="31">
        <f t="shared" si="2"/>
        <v>-210.47000000000054</v>
      </c>
    </row>
    <row r="138" spans="1:6" x14ac:dyDescent="0.25">
      <c r="A138" s="30">
        <v>45824</v>
      </c>
      <c r="B138" s="13" t="str">
        <f>TEXT(Tabella3[[#This Row],[DATA]],"mmmm")&amp;" "&amp;TEXT(Tabella3[[#This Row],[DATA]],"aaaa")</f>
        <v>giugno 2025</v>
      </c>
      <c r="C138" s="14" t="s">
        <v>15</v>
      </c>
      <c r="D138" s="15"/>
      <c r="E138" s="15">
        <f>-89.5-142-519</f>
        <v>-750.5</v>
      </c>
      <c r="F138" s="31">
        <f t="shared" si="2"/>
        <v>540.02999999999952</v>
      </c>
    </row>
    <row r="139" spans="1:6" x14ac:dyDescent="0.25">
      <c r="A139" s="30">
        <v>45824</v>
      </c>
      <c r="B139" s="13" t="str">
        <f>TEXT(Tabella3[[#This Row],[DATA]],"mmmm")&amp;" "&amp;TEXT(Tabella3[[#This Row],[DATA]],"aaaa")</f>
        <v>giugno 2025</v>
      </c>
      <c r="C139" s="14" t="s">
        <v>9</v>
      </c>
      <c r="D139" s="15"/>
      <c r="E139" s="15">
        <v>70</v>
      </c>
      <c r="F139" s="31">
        <f t="shared" si="2"/>
        <v>470.02999999999952</v>
      </c>
    </row>
    <row r="140" spans="1:6" x14ac:dyDescent="0.25">
      <c r="A140" s="30">
        <v>45835</v>
      </c>
      <c r="B140" s="13" t="str">
        <f>TEXT(Tabella3[[#This Row],[DATA]],"mmmm")&amp;" "&amp;TEXT(Tabella3[[#This Row],[DATA]],"aaaa")</f>
        <v>giugno 2025</v>
      </c>
      <c r="C140" s="14" t="s">
        <v>9</v>
      </c>
      <c r="D140" s="15"/>
      <c r="E140" s="15">
        <v>20</v>
      </c>
      <c r="F140" s="31">
        <f t="shared" si="2"/>
        <v>450.02999999999952</v>
      </c>
    </row>
    <row r="141" spans="1:6" x14ac:dyDescent="0.25">
      <c r="A141" s="30">
        <v>45838</v>
      </c>
      <c r="B141" s="13" t="str">
        <f>TEXT(Tabella3[[#This Row],[DATA]],"mmmm")&amp;" "&amp;TEXT(Tabella3[[#This Row],[DATA]],"aaaa")</f>
        <v>giugno 2025</v>
      </c>
      <c r="C141" s="14" t="s">
        <v>18</v>
      </c>
      <c r="D141" s="15"/>
      <c r="E141" s="15">
        <v>307.01</v>
      </c>
      <c r="F141" s="31">
        <f t="shared" si="2"/>
        <v>143.01999999999953</v>
      </c>
    </row>
    <row r="142" spans="1:6" x14ac:dyDescent="0.25">
      <c r="A142" s="30">
        <v>45841</v>
      </c>
      <c r="B142" s="13" t="str">
        <f>TEXT(Tabella3[[#This Row],[DATA]],"mmmm")&amp;" "&amp;TEXT(Tabella3[[#This Row],[DATA]],"aaaa")</f>
        <v>luglio 2025</v>
      </c>
      <c r="C142" s="14" t="s">
        <v>6</v>
      </c>
      <c r="D142" s="15"/>
      <c r="E142" s="15">
        <v>2.7</v>
      </c>
      <c r="F142" s="31">
        <f t="shared" si="2"/>
        <v>140.31999999999954</v>
      </c>
    </row>
    <row r="143" spans="1:6" x14ac:dyDescent="0.25">
      <c r="A143" s="30">
        <v>45846</v>
      </c>
      <c r="B143" s="13" t="str">
        <f>TEXT(Tabella3[[#This Row],[DATA]],"mmmm")&amp;" "&amp;TEXT(Tabella3[[#This Row],[DATA]],"aaaa")</f>
        <v>luglio 2025</v>
      </c>
      <c r="C143" s="14" t="s">
        <v>8</v>
      </c>
      <c r="D143" s="15"/>
      <c r="E143" s="15">
        <v>55.67</v>
      </c>
      <c r="F143" s="31">
        <f t="shared" si="2"/>
        <v>84.649999999999537</v>
      </c>
    </row>
    <row r="144" spans="1:6" x14ac:dyDescent="0.25">
      <c r="A144" s="30">
        <v>45846</v>
      </c>
      <c r="B144" s="13" t="str">
        <f>TEXT(Tabella3[[#This Row],[DATA]],"mmmm")&amp;" "&amp;TEXT(Tabella3[[#This Row],[DATA]],"aaaa")</f>
        <v>luglio 2025</v>
      </c>
      <c r="C144" s="14" t="s">
        <v>6</v>
      </c>
      <c r="D144" s="15"/>
      <c r="E144" s="15">
        <v>17.5</v>
      </c>
      <c r="F144" s="31">
        <f t="shared" si="2"/>
        <v>67.149999999999537</v>
      </c>
    </row>
    <row r="145" spans="1:6" x14ac:dyDescent="0.25">
      <c r="A145" s="30">
        <v>45848</v>
      </c>
      <c r="B145" s="13" t="str">
        <f>TEXT(Tabella3[[#This Row],[DATA]],"mmmm")&amp;" "&amp;TEXT(Tabella3[[#This Row],[DATA]],"aaaa")</f>
        <v>luglio 2025</v>
      </c>
      <c r="C145" s="14" t="s">
        <v>10</v>
      </c>
      <c r="D145" s="15">
        <v>2735</v>
      </c>
      <c r="E145" s="15"/>
      <c r="F145" s="31">
        <f t="shared" si="2"/>
        <v>2802.1499999999996</v>
      </c>
    </row>
    <row r="146" spans="1:6" x14ac:dyDescent="0.25">
      <c r="A146" s="30">
        <v>45849</v>
      </c>
      <c r="B146" s="13" t="str">
        <f>TEXT(Tabella3[[#This Row],[DATA]],"mmmm")&amp;" "&amp;TEXT(Tabella3[[#This Row],[DATA]],"aaaa")</f>
        <v>luglio 2025</v>
      </c>
      <c r="C146" s="14" t="s">
        <v>45</v>
      </c>
      <c r="D146" s="15"/>
      <c r="E146" s="15">
        <v>920.5</v>
      </c>
      <c r="F146" s="31">
        <f t="shared" si="2"/>
        <v>1881.6499999999996</v>
      </c>
    </row>
    <row r="147" spans="1:6" x14ac:dyDescent="0.25">
      <c r="A147" s="30">
        <v>45849</v>
      </c>
      <c r="B147" s="13" t="str">
        <f>TEXT(Tabella3[[#This Row],[DATA]],"mmmm")&amp;" "&amp;TEXT(Tabella3[[#This Row],[DATA]],"aaaa")</f>
        <v>luglio 2025</v>
      </c>
      <c r="C147" s="14" t="s">
        <v>7</v>
      </c>
      <c r="D147" s="15"/>
      <c r="E147" s="15">
        <v>26.82</v>
      </c>
      <c r="F147" s="31">
        <f t="shared" si="2"/>
        <v>1854.8299999999997</v>
      </c>
    </row>
    <row r="148" spans="1:6" x14ac:dyDescent="0.25">
      <c r="A148" s="30">
        <v>45849</v>
      </c>
      <c r="B148" s="13" t="str">
        <f>TEXT(Tabella3[[#This Row],[DATA]],"mmmm")&amp;" "&amp;TEXT(Tabella3[[#This Row],[DATA]],"aaaa")</f>
        <v>luglio 2025</v>
      </c>
      <c r="C148" s="14" t="s">
        <v>9</v>
      </c>
      <c r="D148" s="15"/>
      <c r="E148" s="15">
        <v>100</v>
      </c>
      <c r="F148" s="31">
        <f t="shared" si="2"/>
        <v>1754.8299999999997</v>
      </c>
    </row>
    <row r="149" spans="1:6" x14ac:dyDescent="0.25">
      <c r="A149" s="30">
        <v>45853</v>
      </c>
      <c r="B149" s="13" t="str">
        <f>TEXT(Tabella3[[#This Row],[DATA]],"mmmm")&amp;" "&amp;TEXT(Tabella3[[#This Row],[DATA]],"aaaa")</f>
        <v>luglio 2025</v>
      </c>
      <c r="C149" s="14" t="s">
        <v>15</v>
      </c>
      <c r="D149" s="15"/>
      <c r="E149" s="15">
        <f>83.39+4.6</f>
        <v>87.99</v>
      </c>
      <c r="F149" s="31">
        <f t="shared" si="2"/>
        <v>1666.8399999999997</v>
      </c>
    </row>
    <row r="150" spans="1:6" x14ac:dyDescent="0.25">
      <c r="A150" s="30">
        <v>45853</v>
      </c>
      <c r="B150" s="13" t="str">
        <f>TEXT(Tabella3[[#This Row],[DATA]],"mmmm")&amp;" "&amp;TEXT(Tabella3[[#This Row],[DATA]],"aaaa")</f>
        <v>luglio 2025</v>
      </c>
      <c r="C150" s="14" t="s">
        <v>37</v>
      </c>
      <c r="D150" s="15"/>
      <c r="E150" s="15">
        <v>31.67</v>
      </c>
      <c r="F150" s="31">
        <f t="shared" si="2"/>
        <v>1635.1699999999996</v>
      </c>
    </row>
    <row r="151" spans="1:6" x14ac:dyDescent="0.25">
      <c r="A151" s="30">
        <v>45853</v>
      </c>
      <c r="B151" s="13" t="str">
        <f>TEXT(Tabella3[[#This Row],[DATA]],"mmmm")&amp;" "&amp;TEXT(Tabella3[[#This Row],[DATA]],"aaaa")</f>
        <v>luglio 2025</v>
      </c>
      <c r="C151" s="14" t="s">
        <v>15</v>
      </c>
      <c r="D151" s="15"/>
      <c r="E151" s="15">
        <f>96.12+8.3</f>
        <v>104.42</v>
      </c>
      <c r="F151" s="31">
        <f t="shared" si="2"/>
        <v>1530.7499999999995</v>
      </c>
    </row>
    <row r="152" spans="1:6" x14ac:dyDescent="0.25">
      <c r="A152" s="30">
        <v>45853</v>
      </c>
      <c r="B152" s="13" t="str">
        <f>TEXT(Tabella3[[#This Row],[DATA]],"mmmm")&amp;" "&amp;TEXT(Tabella3[[#This Row],[DATA]],"aaaa")</f>
        <v>luglio 2025</v>
      </c>
      <c r="C152" s="14" t="s">
        <v>13</v>
      </c>
      <c r="D152" s="15"/>
      <c r="E152" s="15">
        <v>4.99</v>
      </c>
      <c r="F152" s="31">
        <f t="shared" si="2"/>
        <v>1525.7599999999995</v>
      </c>
    </row>
    <row r="153" spans="1:6" x14ac:dyDescent="0.25">
      <c r="A153" s="30">
        <v>45853</v>
      </c>
      <c r="B153" s="13" t="str">
        <f>TEXT(Tabella3[[#This Row],[DATA]],"mmmm")&amp;" "&amp;TEXT(Tabella3[[#This Row],[DATA]],"aaaa")</f>
        <v>luglio 2025</v>
      </c>
      <c r="C153" s="14" t="s">
        <v>28</v>
      </c>
      <c r="D153" s="15"/>
      <c r="E153" s="15">
        <v>67.03</v>
      </c>
      <c r="F153" s="31">
        <f t="shared" si="2"/>
        <v>1458.7299999999996</v>
      </c>
    </row>
    <row r="154" spans="1:6" x14ac:dyDescent="0.25">
      <c r="A154" s="30">
        <v>45853</v>
      </c>
      <c r="B154" s="13" t="str">
        <f>TEXT(Tabella3[[#This Row],[DATA]],"mmmm")&amp;" "&amp;TEXT(Tabella3[[#This Row],[DATA]],"aaaa")</f>
        <v>luglio 2025</v>
      </c>
      <c r="C154" s="14" t="s">
        <v>22</v>
      </c>
      <c r="D154" s="15"/>
      <c r="E154" s="15">
        <v>56</v>
      </c>
      <c r="F154" s="31">
        <f t="shared" si="2"/>
        <v>1402.7299999999996</v>
      </c>
    </row>
    <row r="155" spans="1:6" x14ac:dyDescent="0.25">
      <c r="A155" s="30">
        <v>45853</v>
      </c>
      <c r="B155" s="13" t="str">
        <f>TEXT(Tabella3[[#This Row],[DATA]],"mmmm")&amp;" "&amp;TEXT(Tabella3[[#This Row],[DATA]],"aaaa")</f>
        <v>luglio 2025</v>
      </c>
      <c r="C155" s="14" t="s">
        <v>26</v>
      </c>
      <c r="D155" s="15"/>
      <c r="E155" s="15">
        <v>29.99</v>
      </c>
      <c r="F155" s="31">
        <f t="shared" si="2"/>
        <v>1372.7399999999996</v>
      </c>
    </row>
    <row r="156" spans="1:6" x14ac:dyDescent="0.25">
      <c r="A156" s="30">
        <v>45853</v>
      </c>
      <c r="B156" s="13" t="str">
        <f>TEXT(Tabella3[[#This Row],[DATA]],"mmmm")&amp;" "&amp;TEXT(Tabella3[[#This Row],[DATA]],"aaaa")</f>
        <v>luglio 2025</v>
      </c>
      <c r="C156" s="14" t="s">
        <v>37</v>
      </c>
      <c r="D156" s="15"/>
      <c r="E156" s="15">
        <v>110.94</v>
      </c>
      <c r="F156" s="31">
        <f t="shared" si="2"/>
        <v>1261.7999999999995</v>
      </c>
    </row>
    <row r="157" spans="1:6" x14ac:dyDescent="0.25">
      <c r="A157" s="30">
        <v>45853</v>
      </c>
      <c r="B157" s="13" t="str">
        <f>TEXT(Tabella3[[#This Row],[DATA]],"mmmm")&amp;" "&amp;TEXT(Tabella3[[#This Row],[DATA]],"aaaa")</f>
        <v>luglio 2025</v>
      </c>
      <c r="C157" s="14" t="s">
        <v>46</v>
      </c>
      <c r="D157" s="15"/>
      <c r="E157" s="15">
        <v>30.35</v>
      </c>
      <c r="F157" s="31">
        <f t="shared" si="2"/>
        <v>1231.4499999999996</v>
      </c>
    </row>
    <row r="158" spans="1:6" x14ac:dyDescent="0.25">
      <c r="A158" s="30">
        <v>45853</v>
      </c>
      <c r="B158" s="13" t="str">
        <f>TEXT(Tabella3[[#This Row],[DATA]],"mmmm")&amp;" "&amp;TEXT(Tabella3[[#This Row],[DATA]],"aaaa")</f>
        <v>luglio 2025</v>
      </c>
      <c r="C158" s="14" t="s">
        <v>47</v>
      </c>
      <c r="D158" s="15"/>
      <c r="E158" s="15">
        <v>60</v>
      </c>
      <c r="F158" s="31">
        <f t="shared" si="2"/>
        <v>1171.4499999999996</v>
      </c>
    </row>
    <row r="159" spans="1:6" x14ac:dyDescent="0.25">
      <c r="A159" s="30">
        <v>45853</v>
      </c>
      <c r="B159" s="13" t="str">
        <f>TEXT(Tabella3[[#This Row],[DATA]],"mmmm")&amp;" "&amp;TEXT(Tabella3[[#This Row],[DATA]],"aaaa")</f>
        <v>luglio 2025</v>
      </c>
      <c r="C159" s="14" t="s">
        <v>48</v>
      </c>
      <c r="D159" s="15"/>
      <c r="E159" s="15">
        <v>27.6</v>
      </c>
      <c r="F159" s="31">
        <f t="shared" si="2"/>
        <v>1143.8499999999997</v>
      </c>
    </row>
    <row r="160" spans="1:6" x14ac:dyDescent="0.25">
      <c r="A160" s="30">
        <v>45853</v>
      </c>
      <c r="B160" s="13" t="str">
        <f>TEXT(Tabella3[[#This Row],[DATA]],"mmmm")&amp;" "&amp;TEXT(Tabella3[[#This Row],[DATA]],"aaaa")</f>
        <v>luglio 2025</v>
      </c>
      <c r="C160" s="14" t="s">
        <v>23</v>
      </c>
      <c r="D160" s="15"/>
      <c r="E160" s="15">
        <v>13.4</v>
      </c>
      <c r="F160" s="31">
        <f t="shared" si="2"/>
        <v>1130.4499999999996</v>
      </c>
    </row>
    <row r="161" spans="1:6" x14ac:dyDescent="0.25">
      <c r="A161" s="30">
        <v>45853</v>
      </c>
      <c r="B161" s="13" t="str">
        <f>TEXT(Tabella3[[#This Row],[DATA]],"mmmm")&amp;" "&amp;TEXT(Tabella3[[#This Row],[DATA]],"aaaa")</f>
        <v>luglio 2025</v>
      </c>
      <c r="C161" s="14" t="s">
        <v>7</v>
      </c>
      <c r="D161" s="15"/>
      <c r="E161" s="15">
        <v>25.47</v>
      </c>
      <c r="F161" s="31">
        <f t="shared" si="2"/>
        <v>1104.9799999999996</v>
      </c>
    </row>
    <row r="162" spans="1:6" x14ac:dyDescent="0.25">
      <c r="A162" s="30">
        <v>45853</v>
      </c>
      <c r="B162" s="13" t="str">
        <f>TEXT(Tabella3[[#This Row],[DATA]],"mmmm")&amp;" "&amp;TEXT(Tabella3[[#This Row],[DATA]],"aaaa")</f>
        <v>luglio 2025</v>
      </c>
      <c r="C162" s="14" t="s">
        <v>7</v>
      </c>
      <c r="D162" s="15"/>
      <c r="E162" s="15">
        <v>24.52</v>
      </c>
      <c r="F162" s="31">
        <f t="shared" si="2"/>
        <v>1080.4599999999996</v>
      </c>
    </row>
    <row r="163" spans="1:6" x14ac:dyDescent="0.25">
      <c r="A163" s="30">
        <v>45853</v>
      </c>
      <c r="B163" s="13" t="str">
        <f>TEXT(Tabella3[[#This Row],[DATA]],"mmmm")&amp;" "&amp;TEXT(Tabella3[[#This Row],[DATA]],"aaaa")</f>
        <v>luglio 2025</v>
      </c>
      <c r="C163" s="14" t="s">
        <v>12</v>
      </c>
      <c r="D163" s="15"/>
      <c r="E163" s="15">
        <v>10</v>
      </c>
      <c r="F163" s="31">
        <f t="shared" si="2"/>
        <v>1070.4599999999996</v>
      </c>
    </row>
    <row r="164" spans="1:6" x14ac:dyDescent="0.25">
      <c r="A164" s="30">
        <v>45853</v>
      </c>
      <c r="B164" s="13" t="str">
        <f>TEXT(Tabella3[[#This Row],[DATA]],"mmmm")&amp;" "&amp;TEXT(Tabella3[[#This Row],[DATA]],"aaaa")</f>
        <v>luglio 2025</v>
      </c>
      <c r="C164" s="14" t="s">
        <v>49</v>
      </c>
      <c r="D164" s="15"/>
      <c r="E164" s="15">
        <v>33</v>
      </c>
      <c r="F164" s="31">
        <f t="shared" si="2"/>
        <v>1037.4599999999996</v>
      </c>
    </row>
    <row r="165" spans="1:6" x14ac:dyDescent="0.25">
      <c r="A165" s="30">
        <v>45860</v>
      </c>
      <c r="B165" s="13" t="str">
        <f>TEXT(Tabella3[[#This Row],[DATA]],"mmmm")&amp;" "&amp;TEXT(Tabella3[[#This Row],[DATA]],"aaaa")</f>
        <v>luglio 2025</v>
      </c>
      <c r="C165" s="14" t="s">
        <v>16</v>
      </c>
      <c r="D165" s="15"/>
      <c r="E165" s="15">
        <v>19.25</v>
      </c>
      <c r="F165" s="31">
        <f t="shared" si="2"/>
        <v>1018.2099999999996</v>
      </c>
    </row>
    <row r="166" spans="1:6" x14ac:dyDescent="0.25">
      <c r="A166" s="30">
        <v>45861</v>
      </c>
      <c r="B166" s="13" t="str">
        <f>TEXT(Tabella3[[#This Row],[DATA]],"mmmm")&amp;" "&amp;TEXT(Tabella3[[#This Row],[DATA]],"aaaa")</f>
        <v>luglio 2025</v>
      </c>
      <c r="C166" s="14" t="s">
        <v>7</v>
      </c>
      <c r="D166" s="15"/>
      <c r="E166" s="15">
        <v>25.25</v>
      </c>
      <c r="F166" s="31">
        <f t="shared" si="2"/>
        <v>992.95999999999958</v>
      </c>
    </row>
    <row r="167" spans="1:6" x14ac:dyDescent="0.25">
      <c r="A167" s="30">
        <v>45866</v>
      </c>
      <c r="B167" s="13" t="str">
        <f>TEXT(Tabella3[[#This Row],[DATA]],"mmmm")&amp;" "&amp;TEXT(Tabella3[[#This Row],[DATA]],"aaaa")</f>
        <v>luglio 2025</v>
      </c>
      <c r="C167" s="14" t="s">
        <v>11</v>
      </c>
      <c r="D167" s="15"/>
      <c r="E167" s="15">
        <v>500.5</v>
      </c>
      <c r="F167" s="31">
        <f t="shared" si="2"/>
        <v>492.45999999999958</v>
      </c>
    </row>
    <row r="168" spans="1:6" x14ac:dyDescent="0.25">
      <c r="A168" s="30">
        <v>45869</v>
      </c>
      <c r="B168" s="13" t="str">
        <f>TEXT(Tabella3[[#This Row],[DATA]],"mmmm")&amp;" "&amp;TEXT(Tabella3[[#This Row],[DATA]],"aaaa")</f>
        <v>luglio 2025</v>
      </c>
      <c r="C168" s="14" t="s">
        <v>18</v>
      </c>
      <c r="D168" s="15"/>
      <c r="E168" s="15">
        <v>307.01</v>
      </c>
      <c r="F168" s="31">
        <f t="shared" si="2"/>
        <v>185.44999999999959</v>
      </c>
    </row>
    <row r="169" spans="1:6" x14ac:dyDescent="0.25">
      <c r="A169" s="30">
        <v>45876</v>
      </c>
      <c r="B169" s="13" t="str">
        <f>TEXT(Tabella3[[#This Row],[DATA]],"mmmm")&amp;" "&amp;TEXT(Tabella3[[#This Row],[DATA]],"aaaa")</f>
        <v>agosto 2025</v>
      </c>
      <c r="C169" s="14" t="s">
        <v>10</v>
      </c>
      <c r="D169" s="15">
        <v>1816</v>
      </c>
      <c r="E169" s="15"/>
      <c r="F169" s="31">
        <f t="shared" si="2"/>
        <v>2001.4499999999996</v>
      </c>
    </row>
    <row r="170" spans="1:6" x14ac:dyDescent="0.25">
      <c r="A170" s="30">
        <v>45877</v>
      </c>
      <c r="B170" s="13" t="str">
        <f>TEXT(Tabella3[[#This Row],[DATA]],"mmmm")&amp;" "&amp;TEXT(Tabella3[[#This Row],[DATA]],"aaaa")</f>
        <v>agosto 2025</v>
      </c>
      <c r="C170" s="14" t="s">
        <v>8</v>
      </c>
      <c r="D170" s="15"/>
      <c r="E170" s="15">
        <v>55.67</v>
      </c>
      <c r="F170" s="31">
        <f t="shared" si="2"/>
        <v>1945.7799999999995</v>
      </c>
    </row>
    <row r="171" spans="1:6" x14ac:dyDescent="0.25">
      <c r="A171" s="30">
        <v>45877</v>
      </c>
      <c r="B171" s="13" t="str">
        <f>TEXT(Tabella3[[#This Row],[DATA]],"mmmm")&amp;" "&amp;TEXT(Tabella3[[#This Row],[DATA]],"aaaa")</f>
        <v>agosto 2025</v>
      </c>
      <c r="C171" s="14" t="s">
        <v>9</v>
      </c>
      <c r="D171" s="15"/>
      <c r="E171" s="15">
        <v>200</v>
      </c>
      <c r="F171" s="31">
        <f t="shared" si="2"/>
        <v>1745.7799999999995</v>
      </c>
    </row>
    <row r="172" spans="1:6" x14ac:dyDescent="0.25">
      <c r="A172" s="30">
        <v>45877</v>
      </c>
      <c r="B172" s="13" t="str">
        <f>TEXT(Tabella3[[#This Row],[DATA]],"mmmm")&amp;" "&amp;TEXT(Tabella3[[#This Row],[DATA]],"aaaa")</f>
        <v>agosto 2025</v>
      </c>
      <c r="C172" s="14" t="s">
        <v>7</v>
      </c>
      <c r="D172" s="15"/>
      <c r="E172" s="15">
        <v>47.15</v>
      </c>
      <c r="F172" s="31">
        <f t="shared" si="2"/>
        <v>1698.6299999999994</v>
      </c>
    </row>
    <row r="173" spans="1:6" x14ac:dyDescent="0.25">
      <c r="A173" s="30">
        <v>45880</v>
      </c>
      <c r="B173" s="13" t="str">
        <f>TEXT(Tabella3[[#This Row],[DATA]],"mmmm")&amp;" "&amp;TEXT(Tabella3[[#This Row],[DATA]],"aaaa")</f>
        <v>agosto 2025</v>
      </c>
      <c r="C173" s="14" t="s">
        <v>11</v>
      </c>
      <c r="D173" s="15"/>
      <c r="E173" s="15">
        <v>0</v>
      </c>
      <c r="F173" s="31">
        <f t="shared" si="2"/>
        <v>1698.6299999999994</v>
      </c>
    </row>
    <row r="174" spans="1:6" x14ac:dyDescent="0.25">
      <c r="A174" s="30">
        <v>45880</v>
      </c>
      <c r="B174" s="13" t="str">
        <f>TEXT(Tabella3[[#This Row],[DATA]],"mmmm")&amp;" "&amp;TEXT(Tabella3[[#This Row],[DATA]],"aaaa")</f>
        <v>agosto 2025</v>
      </c>
      <c r="C174" s="14" t="s">
        <v>9</v>
      </c>
      <c r="D174" s="15"/>
      <c r="E174" s="15">
        <v>250</v>
      </c>
      <c r="F174" s="31">
        <f t="shared" si="2"/>
        <v>1448.6299999999994</v>
      </c>
    </row>
    <row r="175" spans="1:6" x14ac:dyDescent="0.25">
      <c r="A175" s="30">
        <v>45887</v>
      </c>
      <c r="B175" s="13" t="str">
        <f>TEXT(Tabella3[[#This Row],[DATA]],"mmmm")&amp;" "&amp;TEXT(Tabella3[[#This Row],[DATA]],"aaaa")</f>
        <v>agosto 2025</v>
      </c>
      <c r="C175" s="14" t="s">
        <v>7</v>
      </c>
      <c r="D175" s="15"/>
      <c r="E175" s="15">
        <v>30.07</v>
      </c>
      <c r="F175" s="31">
        <f t="shared" si="2"/>
        <v>1418.5599999999995</v>
      </c>
    </row>
    <row r="176" spans="1:6" x14ac:dyDescent="0.25">
      <c r="A176" s="30">
        <v>45887</v>
      </c>
      <c r="B176" s="13" t="str">
        <f>TEXT(Tabella3[[#This Row],[DATA]],"mmmm")&amp;" "&amp;TEXT(Tabella3[[#This Row],[DATA]],"aaaa")</f>
        <v>agosto 2025</v>
      </c>
      <c r="C176" s="14" t="s">
        <v>37</v>
      </c>
      <c r="D176" s="15"/>
      <c r="E176" s="15">
        <v>110.94</v>
      </c>
      <c r="F176" s="31">
        <f t="shared" si="2"/>
        <v>1307.6199999999994</v>
      </c>
    </row>
    <row r="177" spans="1:6" x14ac:dyDescent="0.25">
      <c r="A177" s="30">
        <v>45887</v>
      </c>
      <c r="B177" s="13" t="str">
        <f>TEXT(Tabella3[[#This Row],[DATA]],"mmmm")&amp;" "&amp;TEXT(Tabella3[[#This Row],[DATA]],"aaaa")</f>
        <v>agosto 2025</v>
      </c>
      <c r="C177" s="14" t="s">
        <v>15</v>
      </c>
      <c r="D177" s="15"/>
      <c r="E177" s="15">
        <f>83.39+4.6</f>
        <v>87.99</v>
      </c>
      <c r="F177" s="31">
        <f t="shared" si="2"/>
        <v>1219.6299999999994</v>
      </c>
    </row>
    <row r="178" spans="1:6" x14ac:dyDescent="0.25">
      <c r="A178" s="30">
        <v>45887</v>
      </c>
      <c r="B178" s="13" t="str">
        <f>TEXT(Tabella3[[#This Row],[DATA]],"mmmm")&amp;" "&amp;TEXT(Tabella3[[#This Row],[DATA]],"aaaa")</f>
        <v>agosto 2025</v>
      </c>
      <c r="C178" s="14" t="s">
        <v>15</v>
      </c>
      <c r="D178" s="15"/>
      <c r="E178" s="15">
        <f>96.12+8.3</f>
        <v>104.42</v>
      </c>
      <c r="F178" s="31">
        <f t="shared" si="2"/>
        <v>1115.2099999999994</v>
      </c>
    </row>
    <row r="179" spans="1:6" x14ac:dyDescent="0.25">
      <c r="A179" s="30">
        <v>45887</v>
      </c>
      <c r="B179" s="13" t="str">
        <f>TEXT(Tabella3[[#This Row],[DATA]],"mmmm")&amp;" "&amp;TEXT(Tabella3[[#This Row],[DATA]],"aaaa")</f>
        <v>agosto 2025</v>
      </c>
      <c r="C179" s="14" t="s">
        <v>13</v>
      </c>
      <c r="D179" s="15"/>
      <c r="E179" s="15">
        <v>4.99</v>
      </c>
      <c r="F179" s="31">
        <f t="shared" si="2"/>
        <v>1110.2199999999993</v>
      </c>
    </row>
    <row r="180" spans="1:6" x14ac:dyDescent="0.25">
      <c r="A180" s="30">
        <v>45887</v>
      </c>
      <c r="B180" s="13" t="str">
        <f>TEXT(Tabella3[[#This Row],[DATA]],"mmmm")&amp;" "&amp;TEXT(Tabella3[[#This Row],[DATA]],"aaaa")</f>
        <v>agosto 2025</v>
      </c>
      <c r="C180" s="14" t="s">
        <v>37</v>
      </c>
      <c r="D180" s="15"/>
      <c r="E180" s="15">
        <v>31.66</v>
      </c>
      <c r="F180" s="31">
        <f t="shared" si="2"/>
        <v>1078.5599999999993</v>
      </c>
    </row>
    <row r="181" spans="1:6" x14ac:dyDescent="0.25">
      <c r="A181" s="30">
        <v>45887</v>
      </c>
      <c r="B181" s="13" t="str">
        <f>TEXT(Tabella3[[#This Row],[DATA]],"mmmm")&amp;" "&amp;TEXT(Tabella3[[#This Row],[DATA]],"aaaa")</f>
        <v>agosto 2025</v>
      </c>
      <c r="C181" s="14" t="s">
        <v>7</v>
      </c>
      <c r="D181" s="15"/>
      <c r="E181" s="15">
        <v>46.68</v>
      </c>
      <c r="F181" s="31">
        <f t="shared" si="2"/>
        <v>1031.8799999999992</v>
      </c>
    </row>
    <row r="182" spans="1:6" x14ac:dyDescent="0.25">
      <c r="A182" s="30">
        <v>45887</v>
      </c>
      <c r="B182" s="13" t="str">
        <f>TEXT(Tabella3[[#This Row],[DATA]],"mmmm")&amp;" "&amp;TEXT(Tabella3[[#This Row],[DATA]],"aaaa")</f>
        <v>agosto 2025</v>
      </c>
      <c r="C182" s="14" t="s">
        <v>9</v>
      </c>
      <c r="D182" s="15"/>
      <c r="E182" s="15">
        <f>100+4.8</f>
        <v>104.8</v>
      </c>
      <c r="F182" s="31">
        <f t="shared" si="2"/>
        <v>927.07999999999925</v>
      </c>
    </row>
    <row r="183" spans="1:6" x14ac:dyDescent="0.25">
      <c r="A183" s="30">
        <v>45887</v>
      </c>
      <c r="B183" s="13" t="str">
        <f>TEXT(Tabella3[[#This Row],[DATA]],"mmmm")&amp;" "&amp;TEXT(Tabella3[[#This Row],[DATA]],"aaaa")</f>
        <v>agosto 2025</v>
      </c>
      <c r="C183" s="14" t="s">
        <v>32</v>
      </c>
      <c r="D183" s="15"/>
      <c r="E183" s="15">
        <v>49</v>
      </c>
      <c r="F183" s="31">
        <f t="shared" si="2"/>
        <v>878.07999999999925</v>
      </c>
    </row>
    <row r="184" spans="1:6" x14ac:dyDescent="0.25">
      <c r="A184" s="30">
        <v>45887</v>
      </c>
      <c r="B184" s="13" t="str">
        <f>TEXT(Tabella3[[#This Row],[DATA]],"mmmm")&amp;" "&amp;TEXT(Tabella3[[#This Row],[DATA]],"aaaa")</f>
        <v>agosto 2025</v>
      </c>
      <c r="C184" s="14" t="s">
        <v>44</v>
      </c>
      <c r="D184" s="15"/>
      <c r="E184" s="15">
        <v>17.5</v>
      </c>
      <c r="F184" s="31">
        <f t="shared" si="2"/>
        <v>860.57999999999925</v>
      </c>
    </row>
    <row r="185" spans="1:6" x14ac:dyDescent="0.25">
      <c r="A185" s="30">
        <v>45887</v>
      </c>
      <c r="B185" s="13" t="str">
        <f>TEXT(Tabella3[[#This Row],[DATA]],"mmmm")&amp;" "&amp;TEXT(Tabella3[[#This Row],[DATA]],"aaaa")</f>
        <v>agosto 2025</v>
      </c>
      <c r="C185" s="14" t="s">
        <v>9</v>
      </c>
      <c r="D185" s="15"/>
      <c r="E185" s="15">
        <f>100+4.8</f>
        <v>104.8</v>
      </c>
      <c r="F185" s="31">
        <f t="shared" si="2"/>
        <v>755.77999999999929</v>
      </c>
    </row>
    <row r="186" spans="1:6" x14ac:dyDescent="0.25">
      <c r="A186" s="30">
        <v>45887</v>
      </c>
      <c r="B186" s="13" t="str">
        <f>TEXT(Tabella3[[#This Row],[DATA]],"mmmm")&amp;" "&amp;TEXT(Tabella3[[#This Row],[DATA]],"aaaa")</f>
        <v>agosto 2025</v>
      </c>
      <c r="C186" s="14" t="s">
        <v>24</v>
      </c>
      <c r="D186" s="15"/>
      <c r="E186" s="15">
        <v>57</v>
      </c>
      <c r="F186" s="31">
        <f t="shared" si="2"/>
        <v>698.77999999999929</v>
      </c>
    </row>
    <row r="187" spans="1:6" x14ac:dyDescent="0.25">
      <c r="A187" s="30">
        <v>45887</v>
      </c>
      <c r="B187" s="13" t="str">
        <f>TEXT(Tabella3[[#This Row],[DATA]],"mmmm")&amp;" "&amp;TEXT(Tabella3[[#This Row],[DATA]],"aaaa")</f>
        <v>agosto 2025</v>
      </c>
      <c r="C187" s="14" t="s">
        <v>12</v>
      </c>
      <c r="D187" s="15"/>
      <c r="E187" s="15">
        <v>10</v>
      </c>
      <c r="F187" s="31">
        <f t="shared" si="2"/>
        <v>688.77999999999929</v>
      </c>
    </row>
    <row r="188" spans="1:6" x14ac:dyDescent="0.25">
      <c r="A188" s="30">
        <v>45887</v>
      </c>
      <c r="B188" s="13" t="str">
        <f>TEXT(Tabella3[[#This Row],[DATA]],"mmmm")&amp;" "&amp;TEXT(Tabella3[[#This Row],[DATA]],"aaaa")</f>
        <v>agosto 2025</v>
      </c>
      <c r="C188" s="14" t="s">
        <v>14</v>
      </c>
      <c r="D188" s="15"/>
      <c r="E188" s="15">
        <v>49.93</v>
      </c>
      <c r="F188" s="31">
        <f t="shared" si="2"/>
        <v>638.84999999999934</v>
      </c>
    </row>
    <row r="189" spans="1:6" x14ac:dyDescent="0.25">
      <c r="A189" s="30">
        <v>45887</v>
      </c>
      <c r="B189" s="13" t="str">
        <f>TEXT(Tabella3[[#This Row],[DATA]],"mmmm")&amp;" "&amp;TEXT(Tabella3[[#This Row],[DATA]],"aaaa")</f>
        <v>agosto 2025</v>
      </c>
      <c r="C189" s="14" t="s">
        <v>44</v>
      </c>
      <c r="D189" s="15"/>
      <c r="E189" s="15">
        <v>22</v>
      </c>
      <c r="F189" s="31">
        <f t="shared" si="2"/>
        <v>616.84999999999934</v>
      </c>
    </row>
    <row r="190" spans="1:6" x14ac:dyDescent="0.25">
      <c r="A190" s="30">
        <v>45887</v>
      </c>
      <c r="B190" s="13" t="str">
        <f>TEXT(Tabella3[[#This Row],[DATA]],"mmmm")&amp;" "&amp;TEXT(Tabella3[[#This Row],[DATA]],"aaaa")</f>
        <v>agosto 2025</v>
      </c>
      <c r="C190" s="14" t="s">
        <v>50</v>
      </c>
      <c r="D190" s="15"/>
      <c r="E190" s="15">
        <v>65.5</v>
      </c>
      <c r="F190" s="31">
        <f t="shared" si="2"/>
        <v>551.34999999999934</v>
      </c>
    </row>
    <row r="191" spans="1:6" x14ac:dyDescent="0.25">
      <c r="A191" s="30">
        <v>45887</v>
      </c>
      <c r="B191" s="13" t="str">
        <f>TEXT(Tabella3[[#This Row],[DATA]],"mmmm")&amp;" "&amp;TEXT(Tabella3[[#This Row],[DATA]],"aaaa")</f>
        <v>agosto 2025</v>
      </c>
      <c r="C191" s="14" t="s">
        <v>7</v>
      </c>
      <c r="D191" s="15"/>
      <c r="E191" s="15">
        <v>24.45</v>
      </c>
      <c r="F191" s="31">
        <f t="shared" si="2"/>
        <v>526.8999999999993</v>
      </c>
    </row>
    <row r="192" spans="1:6" x14ac:dyDescent="0.25">
      <c r="A192" s="30">
        <v>45887</v>
      </c>
      <c r="B192" s="13" t="str">
        <f>TEXT(Tabella3[[#This Row],[DATA]],"mmmm")&amp;" "&amp;TEXT(Tabella3[[#This Row],[DATA]],"aaaa")</f>
        <v>agosto 2025</v>
      </c>
      <c r="C192" s="14" t="s">
        <v>15</v>
      </c>
      <c r="D192" s="15"/>
      <c r="E192" s="15">
        <f>144.48+1.2</f>
        <v>145.67999999999998</v>
      </c>
      <c r="F192" s="31">
        <f t="shared" si="2"/>
        <v>381.21999999999935</v>
      </c>
    </row>
    <row r="193" spans="1:6" x14ac:dyDescent="0.25">
      <c r="A193" s="30">
        <v>45887</v>
      </c>
      <c r="B193" s="13" t="str">
        <f>TEXT(Tabella3[[#This Row],[DATA]],"mmmm")&amp;" "&amp;TEXT(Tabella3[[#This Row],[DATA]],"aaaa")</f>
        <v>agosto 2025</v>
      </c>
      <c r="C193" s="14" t="s">
        <v>15</v>
      </c>
      <c r="D193" s="15"/>
      <c r="E193" s="15">
        <v>-433.44</v>
      </c>
      <c r="F193" s="31">
        <f t="shared" si="2"/>
        <v>814.6599999999994</v>
      </c>
    </row>
    <row r="194" spans="1:6" x14ac:dyDescent="0.25">
      <c r="A194" s="30">
        <v>45887</v>
      </c>
      <c r="B194" s="13" t="str">
        <f>TEXT(Tabella3[[#This Row],[DATA]],"mmmm")&amp;" "&amp;TEXT(Tabella3[[#This Row],[DATA]],"aaaa")</f>
        <v>agosto 2025</v>
      </c>
      <c r="C194" s="14" t="s">
        <v>7</v>
      </c>
      <c r="D194" s="15"/>
      <c r="E194" s="15">
        <v>27.21</v>
      </c>
      <c r="F194" s="31">
        <f t="shared" si="2"/>
        <v>787.44999999999936</v>
      </c>
    </row>
    <row r="195" spans="1:6" x14ac:dyDescent="0.25">
      <c r="A195" s="30">
        <v>45888</v>
      </c>
      <c r="B195" s="13" t="str">
        <f>TEXT(Tabella3[[#This Row],[DATA]],"mmmm")&amp;" "&amp;TEXT(Tabella3[[#This Row],[DATA]],"aaaa")</f>
        <v>agosto 2025</v>
      </c>
      <c r="C195" s="14" t="s">
        <v>7</v>
      </c>
      <c r="D195" s="15"/>
      <c r="E195" s="15">
        <v>42</v>
      </c>
      <c r="F195" s="31">
        <f t="shared" ref="F195:F258" si="3">F194-E195+D195</f>
        <v>745.44999999999936</v>
      </c>
    </row>
    <row r="196" spans="1:6" x14ac:dyDescent="0.25">
      <c r="A196" s="30">
        <v>45888</v>
      </c>
      <c r="B196" s="13" t="str">
        <f>TEXT(Tabella3[[#This Row],[DATA]],"mmmm")&amp;" "&amp;TEXT(Tabella3[[#This Row],[DATA]],"aaaa")</f>
        <v>agosto 2025</v>
      </c>
      <c r="C196" s="14" t="s">
        <v>9</v>
      </c>
      <c r="D196" s="15"/>
      <c r="E196" s="15">
        <v>52</v>
      </c>
      <c r="F196" s="31">
        <f t="shared" si="3"/>
        <v>693.44999999999936</v>
      </c>
    </row>
    <row r="197" spans="1:6" x14ac:dyDescent="0.25">
      <c r="A197" s="30">
        <v>45888</v>
      </c>
      <c r="B197" s="13" t="str">
        <f>TEXT(Tabella3[[#This Row],[DATA]],"mmmm")&amp;" "&amp;TEXT(Tabella3[[#This Row],[DATA]],"aaaa")</f>
        <v>agosto 2025</v>
      </c>
      <c r="C197" s="14" t="s">
        <v>51</v>
      </c>
      <c r="D197" s="15"/>
      <c r="E197" s="15">
        <v>44</v>
      </c>
      <c r="F197" s="31">
        <f t="shared" si="3"/>
        <v>649.44999999999936</v>
      </c>
    </row>
    <row r="198" spans="1:6" x14ac:dyDescent="0.25">
      <c r="A198" s="30">
        <v>45890</v>
      </c>
      <c r="B198" s="13" t="str">
        <f>TEXT(Tabella3[[#This Row],[DATA]],"mmmm")&amp;" "&amp;TEXT(Tabella3[[#This Row],[DATA]],"aaaa")</f>
        <v>agosto 2025</v>
      </c>
      <c r="C198" s="14" t="s">
        <v>52</v>
      </c>
      <c r="D198" s="15"/>
      <c r="E198" s="15">
        <v>70</v>
      </c>
      <c r="F198" s="31">
        <f t="shared" si="3"/>
        <v>579.44999999999936</v>
      </c>
    </row>
    <row r="199" spans="1:6" x14ac:dyDescent="0.25">
      <c r="A199" s="30">
        <v>45890</v>
      </c>
      <c r="B199" s="13" t="str">
        <f>TEXT(Tabella3[[#This Row],[DATA]],"mmmm")&amp;" "&amp;TEXT(Tabella3[[#This Row],[DATA]],"aaaa")</f>
        <v>agosto 2025</v>
      </c>
      <c r="C199" s="14" t="s">
        <v>53</v>
      </c>
      <c r="D199" s="15"/>
      <c r="E199" s="15">
        <v>61.01</v>
      </c>
      <c r="F199" s="31">
        <f t="shared" si="3"/>
        <v>518.43999999999937</v>
      </c>
    </row>
    <row r="200" spans="1:6" x14ac:dyDescent="0.25">
      <c r="A200" s="30">
        <v>45893</v>
      </c>
      <c r="B200" s="13" t="str">
        <f>TEXT(Tabella3[[#This Row],[DATA]],"mmmm")&amp;" "&amp;TEXT(Tabella3[[#This Row],[DATA]],"aaaa")</f>
        <v>agosto 2025</v>
      </c>
      <c r="C200" s="14" t="s">
        <v>54</v>
      </c>
      <c r="D200" s="15"/>
      <c r="E200" s="15">
        <v>11</v>
      </c>
      <c r="F200" s="31">
        <f t="shared" si="3"/>
        <v>507.43999999999937</v>
      </c>
    </row>
    <row r="201" spans="1:6" x14ac:dyDescent="0.25">
      <c r="A201" s="30">
        <v>45894</v>
      </c>
      <c r="B201" s="13" t="str">
        <f>TEXT(Tabella3[[#This Row],[DATA]],"mmmm")&amp;" "&amp;TEXT(Tabella3[[#This Row],[DATA]],"aaaa")</f>
        <v>agosto 2025</v>
      </c>
      <c r="C201" s="14" t="s">
        <v>7</v>
      </c>
      <c r="D201" s="15"/>
      <c r="E201" s="15">
        <v>30.013999999999999</v>
      </c>
      <c r="F201" s="31">
        <f t="shared" si="3"/>
        <v>477.42599999999936</v>
      </c>
    </row>
    <row r="202" spans="1:6" x14ac:dyDescent="0.25">
      <c r="A202" s="30">
        <v>45898</v>
      </c>
      <c r="B202" s="13" t="str">
        <f>TEXT(Tabella3[[#This Row],[DATA]],"mmmm")&amp;" "&amp;TEXT(Tabella3[[#This Row],[DATA]],"aaaa")</f>
        <v>agosto 2025</v>
      </c>
      <c r="C202" s="14" t="s">
        <v>18</v>
      </c>
      <c r="D202" s="15"/>
      <c r="E202" s="15">
        <v>307.01</v>
      </c>
      <c r="F202" s="31">
        <f t="shared" si="3"/>
        <v>170.41599999999937</v>
      </c>
    </row>
    <row r="203" spans="1:6" x14ac:dyDescent="0.25">
      <c r="A203" s="30">
        <v>45898</v>
      </c>
      <c r="B203" s="13" t="str">
        <f>TEXT(Tabella3[[#This Row],[DATA]],"mmmm")&amp;" "&amp;TEXT(Tabella3[[#This Row],[DATA]],"aaaa")</f>
        <v>agosto 2025</v>
      </c>
      <c r="C203" s="14" t="s">
        <v>7</v>
      </c>
      <c r="D203" s="15"/>
      <c r="E203" s="15">
        <v>30.05</v>
      </c>
      <c r="F203" s="31">
        <f t="shared" si="3"/>
        <v>140.36599999999936</v>
      </c>
    </row>
    <row r="204" spans="1:6" x14ac:dyDescent="0.25">
      <c r="A204" s="30">
        <v>45900</v>
      </c>
      <c r="B204" s="13" t="str">
        <f>TEXT(Tabella3[[#This Row],[DATA]],"mmmm")&amp;" "&amp;TEXT(Tabella3[[#This Row],[DATA]],"aaaa")</f>
        <v>agosto 2025</v>
      </c>
      <c r="C204" s="14" t="s">
        <v>9</v>
      </c>
      <c r="D204" s="15"/>
      <c r="E204" s="15">
        <v>72</v>
      </c>
      <c r="F204" s="31">
        <f t="shared" si="3"/>
        <v>68.36599999999936</v>
      </c>
    </row>
    <row r="205" spans="1:6" x14ac:dyDescent="0.25">
      <c r="A205" s="30">
        <v>45908</v>
      </c>
      <c r="B205" s="13" t="str">
        <f>TEXT(Tabella3[[#This Row],[DATA]],"mmmm")&amp;" "&amp;TEXT(Tabella3[[#This Row],[DATA]],"aaaa")</f>
        <v>settembre 2025</v>
      </c>
      <c r="C205" s="14" t="s">
        <v>8</v>
      </c>
      <c r="D205" s="15"/>
      <c r="E205" s="15">
        <v>55.67</v>
      </c>
      <c r="F205" s="31">
        <f t="shared" si="3"/>
        <v>12.695999999999358</v>
      </c>
    </row>
    <row r="206" spans="1:6" x14ac:dyDescent="0.25">
      <c r="A206" s="30">
        <v>45910</v>
      </c>
      <c r="B206" s="13" t="str">
        <f>TEXT(Tabella3[[#This Row],[DATA]],"mmmm")&amp;" "&amp;TEXT(Tabella3[[#This Row],[DATA]],"aaaa")</f>
        <v>settembre 2025</v>
      </c>
      <c r="C206" s="14" t="s">
        <v>10</v>
      </c>
      <c r="D206" s="15">
        <v>1891</v>
      </c>
      <c r="E206" s="15"/>
      <c r="F206" s="31">
        <f t="shared" si="3"/>
        <v>1903.6959999999995</v>
      </c>
    </row>
    <row r="207" spans="1:6" x14ac:dyDescent="0.25">
      <c r="A207" s="30">
        <v>45911</v>
      </c>
      <c r="B207" s="13" t="str">
        <f>TEXT(Tabella3[[#This Row],[DATA]],"mmmm")&amp;" "&amp;TEXT(Tabella3[[#This Row],[DATA]],"aaaa")</f>
        <v>settembre 2025</v>
      </c>
      <c r="C207" s="14" t="s">
        <v>11</v>
      </c>
      <c r="D207" s="15"/>
      <c r="E207" s="15">
        <v>500.5</v>
      </c>
      <c r="F207" s="31">
        <f t="shared" si="3"/>
        <v>1403.1959999999995</v>
      </c>
    </row>
    <row r="208" spans="1:6" x14ac:dyDescent="0.25">
      <c r="A208" s="30">
        <v>45915</v>
      </c>
      <c r="B208" s="13" t="str">
        <f>TEXT(Tabella3[[#This Row],[DATA]],"mmmm")&amp;" "&amp;TEXT(Tabella3[[#This Row],[DATA]],"aaaa")</f>
        <v>settembre 2025</v>
      </c>
      <c r="C208" s="14" t="s">
        <v>15</v>
      </c>
      <c r="D208" s="15"/>
      <c r="E208" s="15">
        <v>102.42</v>
      </c>
      <c r="F208" s="31">
        <f t="shared" si="3"/>
        <v>1300.7759999999994</v>
      </c>
    </row>
    <row r="209" spans="1:6" x14ac:dyDescent="0.25">
      <c r="A209" s="30">
        <v>45915</v>
      </c>
      <c r="B209" s="13" t="str">
        <f>TEXT(Tabella3[[#This Row],[DATA]],"mmmm")&amp;" "&amp;TEXT(Tabella3[[#This Row],[DATA]],"aaaa")</f>
        <v>settembre 2025</v>
      </c>
      <c r="C209" s="14" t="s">
        <v>37</v>
      </c>
      <c r="D209" s="15"/>
      <c r="E209" s="15">
        <v>110.93</v>
      </c>
      <c r="F209" s="31">
        <f t="shared" si="3"/>
        <v>1189.8459999999993</v>
      </c>
    </row>
    <row r="210" spans="1:6" x14ac:dyDescent="0.25">
      <c r="A210" s="30">
        <v>45915</v>
      </c>
      <c r="B210" s="13" t="str">
        <f>TEXT(Tabella3[[#This Row],[DATA]],"mmmm")&amp;" "&amp;TEXT(Tabella3[[#This Row],[DATA]],"aaaa")</f>
        <v>settembre 2025</v>
      </c>
      <c r="C210" s="14" t="s">
        <v>15</v>
      </c>
      <c r="D210" s="15"/>
      <c r="E210" s="15">
        <f>83.39+4.6</f>
        <v>87.99</v>
      </c>
      <c r="F210" s="31">
        <f t="shared" si="3"/>
        <v>1101.8559999999993</v>
      </c>
    </row>
    <row r="211" spans="1:6" x14ac:dyDescent="0.25">
      <c r="A211" s="30">
        <v>45915</v>
      </c>
      <c r="B211" s="13" t="str">
        <f>TEXT(Tabella3[[#This Row],[DATA]],"mmmm")&amp;" "&amp;TEXT(Tabella3[[#This Row],[DATA]],"aaaa")</f>
        <v>settembre 2025</v>
      </c>
      <c r="C211" s="14" t="s">
        <v>13</v>
      </c>
      <c r="D211" s="15"/>
      <c r="E211" s="15">
        <v>4.99</v>
      </c>
      <c r="F211" s="31">
        <f t="shared" si="3"/>
        <v>1096.8659999999993</v>
      </c>
    </row>
    <row r="212" spans="1:6" x14ac:dyDescent="0.25">
      <c r="A212" s="30">
        <v>45915</v>
      </c>
      <c r="B212" s="13" t="str">
        <f>TEXT(Tabella3[[#This Row],[DATA]],"mmmm")&amp;" "&amp;TEXT(Tabella3[[#This Row],[DATA]],"aaaa")</f>
        <v>settembre 2025</v>
      </c>
      <c r="C212" s="14" t="s">
        <v>9</v>
      </c>
      <c r="D212" s="15"/>
      <c r="E212" s="15">
        <f>250+12</f>
        <v>262</v>
      </c>
      <c r="F212" s="31">
        <f t="shared" si="3"/>
        <v>834.8659999999993</v>
      </c>
    </row>
    <row r="213" spans="1:6" x14ac:dyDescent="0.25">
      <c r="A213" s="30">
        <v>45915</v>
      </c>
      <c r="B213" s="13" t="str">
        <f>TEXT(Tabella3[[#This Row],[DATA]],"mmmm")&amp;" "&amp;TEXT(Tabella3[[#This Row],[DATA]],"aaaa")</f>
        <v>settembre 2025</v>
      </c>
      <c r="C213" s="14" t="s">
        <v>55</v>
      </c>
      <c r="D213" s="15"/>
      <c r="E213" s="15">
        <v>99.99</v>
      </c>
      <c r="F213" s="31">
        <f t="shared" si="3"/>
        <v>734.87599999999929</v>
      </c>
    </row>
    <row r="214" spans="1:6" x14ac:dyDescent="0.25">
      <c r="A214" s="30">
        <v>45915</v>
      </c>
      <c r="B214" s="13" t="str">
        <f>TEXT(Tabella3[[#This Row],[DATA]],"mmmm")&amp;" "&amp;TEXT(Tabella3[[#This Row],[DATA]],"aaaa")</f>
        <v>settembre 2025</v>
      </c>
      <c r="C214" s="14" t="s">
        <v>12</v>
      </c>
      <c r="D214" s="15"/>
      <c r="E214" s="15">
        <v>10</v>
      </c>
      <c r="F214" s="31">
        <f t="shared" si="3"/>
        <v>724.87599999999929</v>
      </c>
    </row>
    <row r="215" spans="1:6" x14ac:dyDescent="0.25">
      <c r="A215" s="30">
        <v>45915</v>
      </c>
      <c r="B215" s="13" t="str">
        <f>TEXT(Tabella3[[#This Row],[DATA]],"mmmm")&amp;" "&amp;TEXT(Tabella3[[#This Row],[DATA]],"aaaa")</f>
        <v>settembre 2025</v>
      </c>
      <c r="C215" s="14" t="s">
        <v>7</v>
      </c>
      <c r="D215" s="15"/>
      <c r="E215" s="15">
        <v>21.11</v>
      </c>
      <c r="F215" s="31">
        <f t="shared" si="3"/>
        <v>703.76599999999928</v>
      </c>
    </row>
    <row r="216" spans="1:6" x14ac:dyDescent="0.25">
      <c r="A216" s="30">
        <v>45915</v>
      </c>
      <c r="B216" s="13" t="str">
        <f>TEXT(Tabella3[[#This Row],[DATA]],"mmmm")&amp;" "&amp;TEXT(Tabella3[[#This Row],[DATA]],"aaaa")</f>
        <v>settembre 2025</v>
      </c>
      <c r="C216" s="14" t="s">
        <v>14</v>
      </c>
      <c r="D216" s="15"/>
      <c r="E216" s="15">
        <v>10.79</v>
      </c>
      <c r="F216" s="31">
        <f t="shared" si="3"/>
        <v>692.97599999999932</v>
      </c>
    </row>
    <row r="217" spans="1:6" x14ac:dyDescent="0.25">
      <c r="A217" s="30">
        <v>45915</v>
      </c>
      <c r="B217" s="13" t="str">
        <f>TEXT(Tabella3[[#This Row],[DATA]],"mmmm")&amp;" "&amp;TEXT(Tabella3[[#This Row],[DATA]],"aaaa")</f>
        <v>settembre 2025</v>
      </c>
      <c r="C217" s="14" t="s">
        <v>15</v>
      </c>
      <c r="D217" s="15"/>
      <c r="E217" s="15">
        <v>-460.92</v>
      </c>
      <c r="F217" s="31">
        <f t="shared" si="3"/>
        <v>1153.8959999999993</v>
      </c>
    </row>
    <row r="218" spans="1:6" x14ac:dyDescent="0.25">
      <c r="A218" s="30">
        <v>45915</v>
      </c>
      <c r="B218" s="13" t="str">
        <f>TEXT(Tabella3[[#This Row],[DATA]],"mmmm")&amp;" "&amp;TEXT(Tabella3[[#This Row],[DATA]],"aaaa")</f>
        <v>settembre 2025</v>
      </c>
      <c r="C218" s="14" t="s">
        <v>15</v>
      </c>
      <c r="D218" s="15"/>
      <c r="E218" s="15">
        <v>154.84</v>
      </c>
      <c r="F218" s="31">
        <f t="shared" si="3"/>
        <v>999.05599999999924</v>
      </c>
    </row>
    <row r="219" spans="1:6" x14ac:dyDescent="0.25">
      <c r="A219" s="30">
        <v>45915</v>
      </c>
      <c r="B219" s="13" t="str">
        <f>TEXT(Tabella3[[#This Row],[DATA]],"mmmm")&amp;" "&amp;TEXT(Tabella3[[#This Row],[DATA]],"aaaa")</f>
        <v>settembre 2025</v>
      </c>
      <c r="C219" s="14" t="s">
        <v>15</v>
      </c>
      <c r="D219" s="15"/>
      <c r="E219" s="15">
        <v>145.68</v>
      </c>
      <c r="F219" s="31">
        <f t="shared" si="3"/>
        <v>853.37599999999929</v>
      </c>
    </row>
    <row r="220" spans="1:6" x14ac:dyDescent="0.25">
      <c r="A220" s="30">
        <v>45915</v>
      </c>
      <c r="B220" s="13" t="str">
        <f>TEXT(Tabella3[[#This Row],[DATA]],"mmmm")&amp;" "&amp;TEXT(Tabella3[[#This Row],[DATA]],"aaaa")</f>
        <v>settembre 2025</v>
      </c>
      <c r="C220" s="14" t="s">
        <v>6</v>
      </c>
      <c r="D220" s="15"/>
      <c r="E220" s="15">
        <v>9.9</v>
      </c>
      <c r="F220" s="31">
        <f t="shared" si="3"/>
        <v>843.47599999999932</v>
      </c>
    </row>
    <row r="221" spans="1:6" x14ac:dyDescent="0.25">
      <c r="A221" s="30">
        <v>45915</v>
      </c>
      <c r="B221" s="13" t="str">
        <f>TEXT(Tabella3[[#This Row],[DATA]],"mmmm")&amp;" "&amp;TEXT(Tabella3[[#This Row],[DATA]],"aaaa")</f>
        <v>settembre 2025</v>
      </c>
      <c r="C221" s="14" t="s">
        <v>6</v>
      </c>
      <c r="D221" s="15"/>
      <c r="E221" s="15">
        <f>2</f>
        <v>2</v>
      </c>
      <c r="F221" s="31">
        <f t="shared" si="3"/>
        <v>841.47599999999932</v>
      </c>
    </row>
    <row r="222" spans="1:6" x14ac:dyDescent="0.25">
      <c r="A222" s="30">
        <v>45919</v>
      </c>
      <c r="B222" s="13" t="str">
        <f>TEXT(Tabella3[[#This Row],[DATA]],"mmmm")&amp;" "&amp;TEXT(Tabella3[[#This Row],[DATA]],"aaaa")</f>
        <v>settembre 2025</v>
      </c>
      <c r="C222" s="14" t="s">
        <v>7</v>
      </c>
      <c r="D222" s="15"/>
      <c r="E222" s="15">
        <v>30</v>
      </c>
      <c r="F222" s="31">
        <f t="shared" si="3"/>
        <v>811.47599999999932</v>
      </c>
    </row>
    <row r="223" spans="1:6" x14ac:dyDescent="0.25">
      <c r="A223" s="30">
        <v>45919</v>
      </c>
      <c r="B223" s="13" t="str">
        <f>TEXT(Tabella3[[#This Row],[DATA]],"mmmm")&amp;" "&amp;TEXT(Tabella3[[#This Row],[DATA]],"aaaa")</f>
        <v>settembre 2025</v>
      </c>
      <c r="C223" s="14" t="s">
        <v>9</v>
      </c>
      <c r="D223" s="15"/>
      <c r="E223" s="15">
        <v>100</v>
      </c>
      <c r="F223" s="31">
        <f t="shared" si="3"/>
        <v>711.47599999999932</v>
      </c>
    </row>
    <row r="224" spans="1:6" x14ac:dyDescent="0.25">
      <c r="A224" s="30">
        <v>45919</v>
      </c>
      <c r="B224" s="13" t="str">
        <f>TEXT(Tabella3[[#This Row],[DATA]],"mmmm")&amp;" "&amp;TEXT(Tabella3[[#This Row],[DATA]],"aaaa")</f>
        <v>settembre 2025</v>
      </c>
      <c r="C224" s="14" t="s">
        <v>56</v>
      </c>
      <c r="D224" s="15"/>
      <c r="E224" s="15">
        <f>118+1.2</f>
        <v>119.2</v>
      </c>
      <c r="F224" s="31">
        <f t="shared" si="3"/>
        <v>592.27599999999927</v>
      </c>
    </row>
    <row r="225" spans="1:6" x14ac:dyDescent="0.25">
      <c r="A225" s="30">
        <v>45919</v>
      </c>
      <c r="B225" s="13" t="str">
        <f>TEXT(Tabella3[[#This Row],[DATA]],"mmmm")&amp;" "&amp;TEXT(Tabella3[[#This Row],[DATA]],"aaaa")</f>
        <v>settembre 2025</v>
      </c>
      <c r="C225" s="14" t="s">
        <v>7</v>
      </c>
      <c r="D225" s="15"/>
      <c r="E225" s="15">
        <v>25.56</v>
      </c>
      <c r="F225" s="31">
        <f t="shared" si="3"/>
        <v>566.71599999999933</v>
      </c>
    </row>
    <row r="226" spans="1:6" x14ac:dyDescent="0.25">
      <c r="A226" s="30">
        <v>45930</v>
      </c>
      <c r="B226" s="13" t="str">
        <f>TEXT(Tabella3[[#This Row],[DATA]],"mmmm")&amp;" "&amp;TEXT(Tabella3[[#This Row],[DATA]],"aaaa")</f>
        <v>settembre 2025</v>
      </c>
      <c r="C226" s="14" t="s">
        <v>18</v>
      </c>
      <c r="D226" s="15"/>
      <c r="E226" s="15">
        <v>307.01</v>
      </c>
      <c r="F226" s="31">
        <f t="shared" si="3"/>
        <v>259.70599999999934</v>
      </c>
    </row>
    <row r="227" spans="1:6" x14ac:dyDescent="0.25">
      <c r="A227" s="30">
        <v>45932</v>
      </c>
      <c r="B227" s="13" t="str">
        <f>TEXT(Tabella3[[#This Row],[DATA]],"mmmm")&amp;" "&amp;TEXT(Tabella3[[#This Row],[DATA]],"aaaa")</f>
        <v>ottobre 2025</v>
      </c>
      <c r="C227" s="14" t="s">
        <v>23</v>
      </c>
      <c r="D227" s="15"/>
      <c r="E227" s="15">
        <v>7.4</v>
      </c>
      <c r="F227" s="31">
        <f t="shared" si="3"/>
        <v>252.30599999999933</v>
      </c>
    </row>
    <row r="228" spans="1:6" x14ac:dyDescent="0.25">
      <c r="A228" s="30">
        <v>45933</v>
      </c>
      <c r="B228" s="13" t="str">
        <f>TEXT(Tabella3[[#This Row],[DATA]],"mmmm")&amp;" "&amp;TEXT(Tabella3[[#This Row],[DATA]],"aaaa")</f>
        <v>ottobre 2025</v>
      </c>
      <c r="C228" s="14" t="s">
        <v>6</v>
      </c>
      <c r="D228" s="15"/>
      <c r="E228" s="15">
        <v>2.7</v>
      </c>
      <c r="F228" s="31">
        <f t="shared" si="3"/>
        <v>249.60599999999934</v>
      </c>
    </row>
    <row r="229" spans="1:6" x14ac:dyDescent="0.25">
      <c r="A229" s="30">
        <v>45933</v>
      </c>
      <c r="B229" s="13" t="str">
        <f>TEXT(Tabella3[[#This Row],[DATA]],"mmmm")&amp;" "&amp;TEXT(Tabella3[[#This Row],[DATA]],"aaaa")</f>
        <v>ottobre 2025</v>
      </c>
      <c r="C229" s="14" t="s">
        <v>7</v>
      </c>
      <c r="D229" s="15"/>
      <c r="E229" s="15">
        <v>26.8</v>
      </c>
      <c r="F229" s="31">
        <f t="shared" si="3"/>
        <v>222.80599999999933</v>
      </c>
    </row>
    <row r="230" spans="1:6" x14ac:dyDescent="0.25">
      <c r="A230" s="30">
        <v>45935</v>
      </c>
      <c r="B230" s="13" t="str">
        <f>TEXT(Tabella3[[#This Row],[DATA]],"mmmm")&amp;" "&amp;TEXT(Tabella3[[#This Row],[DATA]],"aaaa")</f>
        <v>ottobre 2025</v>
      </c>
      <c r="C230" s="14" t="s">
        <v>7</v>
      </c>
      <c r="D230" s="15"/>
      <c r="E230" s="15">
        <v>50.19</v>
      </c>
      <c r="F230" s="31">
        <f t="shared" si="3"/>
        <v>172.61599999999933</v>
      </c>
    </row>
    <row r="231" spans="1:6" x14ac:dyDescent="0.25">
      <c r="A231" s="30">
        <v>45935</v>
      </c>
      <c r="B231" s="13" t="str">
        <f>TEXT(Tabella3[[#This Row],[DATA]],"mmmm")&amp;" "&amp;TEXT(Tabella3[[#This Row],[DATA]],"aaaa")</f>
        <v>ottobre 2025</v>
      </c>
      <c r="C231" s="14" t="s">
        <v>9</v>
      </c>
      <c r="D231" s="15"/>
      <c r="E231" s="15">
        <v>72</v>
      </c>
      <c r="F231" s="31">
        <f t="shared" si="3"/>
        <v>100.61599999999933</v>
      </c>
    </row>
    <row r="232" spans="1:6" x14ac:dyDescent="0.25">
      <c r="A232" s="30">
        <v>45936</v>
      </c>
      <c r="B232" s="13" t="str">
        <f>TEXT(Tabella3[[#This Row],[DATA]],"mmmm")&amp;" "&amp;TEXT(Tabella3[[#This Row],[DATA]],"aaaa")</f>
        <v>ottobre 2025</v>
      </c>
      <c r="C232" s="14" t="s">
        <v>9</v>
      </c>
      <c r="D232" s="15"/>
      <c r="E232" s="15">
        <v>60</v>
      </c>
      <c r="F232" s="31">
        <f t="shared" si="3"/>
        <v>40.615999999999332</v>
      </c>
    </row>
    <row r="233" spans="1:6" x14ac:dyDescent="0.25">
      <c r="A233" s="30">
        <v>45938</v>
      </c>
      <c r="B233" s="13" t="str">
        <f>TEXT(Tabella3[[#This Row],[DATA]],"mmmm")&amp;" "&amp;TEXT(Tabella3[[#This Row],[DATA]],"aaaa")</f>
        <v>ottobre 2025</v>
      </c>
      <c r="C233" s="14" t="s">
        <v>8</v>
      </c>
      <c r="D233" s="15"/>
      <c r="E233" s="15">
        <v>55.67</v>
      </c>
      <c r="F233" s="31">
        <f t="shared" si="3"/>
        <v>-15.05400000000067</v>
      </c>
    </row>
    <row r="234" spans="1:6" x14ac:dyDescent="0.25">
      <c r="A234" s="30">
        <v>45943</v>
      </c>
      <c r="B234" s="13" t="str">
        <f>TEXT(Tabella3[[#This Row],[DATA]],"mmmm")&amp;" "&amp;TEXT(Tabella3[[#This Row],[DATA]],"aaaa")</f>
        <v>ottobre 2025</v>
      </c>
      <c r="C234" s="14" t="s">
        <v>6</v>
      </c>
      <c r="D234" s="15"/>
      <c r="E234" s="15">
        <v>15.5</v>
      </c>
      <c r="F234" s="31">
        <f t="shared" si="3"/>
        <v>-30.55400000000067</v>
      </c>
    </row>
    <row r="235" spans="1:6" x14ac:dyDescent="0.25">
      <c r="A235" s="30">
        <v>45943</v>
      </c>
      <c r="B235" s="13" t="str">
        <f>TEXT(Tabella3[[#This Row],[DATA]],"mmmm")&amp;" "&amp;TEXT(Tabella3[[#This Row],[DATA]],"aaaa")</f>
        <v>ottobre 2025</v>
      </c>
      <c r="C235" s="14" t="s">
        <v>10</v>
      </c>
      <c r="D235" s="15">
        <v>1808</v>
      </c>
      <c r="E235" s="15"/>
      <c r="F235" s="31">
        <f t="shared" si="3"/>
        <v>1777.4459999999992</v>
      </c>
    </row>
    <row r="236" spans="1:6" x14ac:dyDescent="0.25">
      <c r="A236" s="30">
        <v>45943</v>
      </c>
      <c r="B236" s="13" t="str">
        <f>TEXT(Tabella3[[#This Row],[DATA]],"mmmm")&amp;" "&amp;TEXT(Tabella3[[#This Row],[DATA]],"aaaa")</f>
        <v>ottobre 2025</v>
      </c>
      <c r="C236" s="14" t="s">
        <v>11</v>
      </c>
      <c r="D236" s="15"/>
      <c r="E236" s="15">
        <v>500.5</v>
      </c>
      <c r="F236" s="31">
        <f t="shared" si="3"/>
        <v>1276.9459999999992</v>
      </c>
    </row>
    <row r="237" spans="1:6" x14ac:dyDescent="0.25">
      <c r="A237" s="30">
        <v>45945</v>
      </c>
      <c r="B237" s="13" t="str">
        <f>TEXT(Tabella3[[#This Row],[DATA]],"mmmm")&amp;" "&amp;TEXT(Tabella3[[#This Row],[DATA]],"aaaa")</f>
        <v>ottobre 2025</v>
      </c>
      <c r="C237" s="14" t="s">
        <v>57</v>
      </c>
      <c r="D237" s="15"/>
      <c r="E237" s="15">
        <v>28</v>
      </c>
      <c r="F237" s="31">
        <f t="shared" si="3"/>
        <v>1248.9459999999992</v>
      </c>
    </row>
    <row r="238" spans="1:6" x14ac:dyDescent="0.25">
      <c r="A238" s="30">
        <v>45945</v>
      </c>
      <c r="B238" s="13" t="str">
        <f>TEXT(Tabella3[[#This Row],[DATA]],"mmmm")&amp;" "&amp;TEXT(Tabella3[[#This Row],[DATA]],"aaaa")</f>
        <v>ottobre 2025</v>
      </c>
      <c r="C238" s="14" t="s">
        <v>15</v>
      </c>
      <c r="D238" s="15"/>
      <c r="E238" s="15">
        <f>144.48+1.2</f>
        <v>145.67999999999998</v>
      </c>
      <c r="F238" s="31">
        <f t="shared" si="3"/>
        <v>1103.2659999999992</v>
      </c>
    </row>
    <row r="239" spans="1:6" x14ac:dyDescent="0.25">
      <c r="A239" s="30">
        <v>45945</v>
      </c>
      <c r="B239" s="13" t="str">
        <f>TEXT(Tabella3[[#This Row],[DATA]],"mmmm")&amp;" "&amp;TEXT(Tabella3[[#This Row],[DATA]],"aaaa")</f>
        <v>ottobre 2025</v>
      </c>
      <c r="C239" s="14" t="s">
        <v>15</v>
      </c>
      <c r="D239" s="15"/>
      <c r="E239" s="15">
        <f>83.39+4.6</f>
        <v>87.99</v>
      </c>
      <c r="F239" s="31">
        <f t="shared" si="3"/>
        <v>1015.2759999999992</v>
      </c>
    </row>
    <row r="240" spans="1:6" x14ac:dyDescent="0.25">
      <c r="A240" s="30">
        <v>45945</v>
      </c>
      <c r="B240" s="13" t="str">
        <f>TEXT(Tabella3[[#This Row],[DATA]],"mmmm")&amp;" "&amp;TEXT(Tabella3[[#This Row],[DATA]],"aaaa")</f>
        <v>ottobre 2025</v>
      </c>
      <c r="C240" s="14" t="s">
        <v>13</v>
      </c>
      <c r="D240" s="15"/>
      <c r="E240" s="15">
        <v>4.99</v>
      </c>
      <c r="F240" s="31">
        <f t="shared" si="3"/>
        <v>1010.2859999999991</v>
      </c>
    </row>
    <row r="241" spans="1:6" x14ac:dyDescent="0.25">
      <c r="A241" s="30">
        <v>45945</v>
      </c>
      <c r="B241" s="13" t="str">
        <f>TEXT(Tabella3[[#This Row],[DATA]],"mmmm")&amp;" "&amp;TEXT(Tabella3[[#This Row],[DATA]],"aaaa")</f>
        <v>ottobre 2025</v>
      </c>
      <c r="C241" s="14" t="s">
        <v>15</v>
      </c>
      <c r="D241" s="15"/>
      <c r="E241" s="15">
        <f>153.64+1.2</f>
        <v>154.83999999999997</v>
      </c>
      <c r="F241" s="31">
        <f t="shared" si="3"/>
        <v>855.44599999999923</v>
      </c>
    </row>
    <row r="242" spans="1:6" x14ac:dyDescent="0.25">
      <c r="A242" s="30">
        <v>45945</v>
      </c>
      <c r="B242" s="13" t="str">
        <f>TEXT(Tabella3[[#This Row],[DATA]],"mmmm")&amp;" "&amp;TEXT(Tabella3[[#This Row],[DATA]],"aaaa")</f>
        <v>ottobre 2025</v>
      </c>
      <c r="C242" s="14" t="s">
        <v>9</v>
      </c>
      <c r="D242" s="15"/>
      <c r="E242" s="15">
        <v>104.8</v>
      </c>
      <c r="F242" s="31">
        <f t="shared" si="3"/>
        <v>750.64599999999928</v>
      </c>
    </row>
    <row r="243" spans="1:6" x14ac:dyDescent="0.25">
      <c r="A243" s="30">
        <v>45945</v>
      </c>
      <c r="B243" s="13" t="str">
        <f>TEXT(Tabella3[[#This Row],[DATA]],"mmmm")&amp;" "&amp;TEXT(Tabella3[[#This Row],[DATA]],"aaaa")</f>
        <v>ottobre 2025</v>
      </c>
      <c r="C243" s="14" t="s">
        <v>16</v>
      </c>
      <c r="D243" s="15"/>
      <c r="E243" s="15">
        <v>39.090000000000003</v>
      </c>
      <c r="F243" s="31">
        <f t="shared" si="3"/>
        <v>711.55599999999924</v>
      </c>
    </row>
    <row r="244" spans="1:6" x14ac:dyDescent="0.25">
      <c r="A244" s="30">
        <v>45945</v>
      </c>
      <c r="B244" s="13" t="str">
        <f>TEXT(Tabella3[[#This Row],[DATA]],"mmmm")&amp;" "&amp;TEXT(Tabella3[[#This Row],[DATA]],"aaaa")</f>
        <v>ottobre 2025</v>
      </c>
      <c r="C244" s="14" t="s">
        <v>7</v>
      </c>
      <c r="D244" s="15"/>
      <c r="E244" s="15">
        <v>26.55</v>
      </c>
      <c r="F244" s="31">
        <f t="shared" si="3"/>
        <v>685.00599999999929</v>
      </c>
    </row>
    <row r="245" spans="1:6" x14ac:dyDescent="0.25">
      <c r="A245" s="30">
        <v>45945</v>
      </c>
      <c r="B245" s="13" t="str">
        <f>TEXT(Tabella3[[#This Row],[DATA]],"mmmm")&amp;" "&amp;TEXT(Tabella3[[#This Row],[DATA]],"aaaa")</f>
        <v>ottobre 2025</v>
      </c>
      <c r="C245" s="14" t="s">
        <v>16</v>
      </c>
      <c r="D245" s="15"/>
      <c r="E245" s="15">
        <v>22.5</v>
      </c>
      <c r="F245" s="31">
        <f t="shared" si="3"/>
        <v>662.50599999999929</v>
      </c>
    </row>
    <row r="246" spans="1:6" x14ac:dyDescent="0.25">
      <c r="A246" s="30">
        <v>45945</v>
      </c>
      <c r="B246" s="13" t="str">
        <f>TEXT(Tabella3[[#This Row],[DATA]],"mmmm")&amp;" "&amp;TEXT(Tabella3[[#This Row],[DATA]],"aaaa")</f>
        <v>ottobre 2025</v>
      </c>
      <c r="C246" s="14" t="s">
        <v>9</v>
      </c>
      <c r="D246" s="15"/>
      <c r="E246" s="15">
        <v>104.8</v>
      </c>
      <c r="F246" s="31">
        <f t="shared" si="3"/>
        <v>557.70599999999934</v>
      </c>
    </row>
    <row r="247" spans="1:6" x14ac:dyDescent="0.25">
      <c r="A247" s="30">
        <v>45945</v>
      </c>
      <c r="B247" s="13" t="str">
        <f>TEXT(Tabella3[[#This Row],[DATA]],"mmmm")&amp;" "&amp;TEXT(Tabella3[[#This Row],[DATA]],"aaaa")</f>
        <v>ottobre 2025</v>
      </c>
      <c r="C247" s="14" t="s">
        <v>7</v>
      </c>
      <c r="D247" s="15"/>
      <c r="E247" s="15">
        <v>19.399999999999999</v>
      </c>
      <c r="F247" s="31">
        <f t="shared" si="3"/>
        <v>538.30599999999936</v>
      </c>
    </row>
    <row r="248" spans="1:6" x14ac:dyDescent="0.25">
      <c r="A248" s="30">
        <v>45945</v>
      </c>
      <c r="B248" s="13" t="str">
        <f>TEXT(Tabella3[[#This Row],[DATA]],"mmmm")&amp;" "&amp;TEXT(Tabella3[[#This Row],[DATA]],"aaaa")</f>
        <v>ottobre 2025</v>
      </c>
      <c r="C248" s="14" t="s">
        <v>24</v>
      </c>
      <c r="D248" s="15"/>
      <c r="E248" s="15">
        <v>58.2</v>
      </c>
      <c r="F248" s="31">
        <f t="shared" si="3"/>
        <v>480.10599999999937</v>
      </c>
    </row>
    <row r="249" spans="1:6" x14ac:dyDescent="0.25">
      <c r="A249" s="30">
        <v>45945</v>
      </c>
      <c r="B249" s="13" t="str">
        <f>TEXT(Tabella3[[#This Row],[DATA]],"mmmm")&amp;" "&amp;TEXT(Tabella3[[#This Row],[DATA]],"aaaa")</f>
        <v>ottobre 2025</v>
      </c>
      <c r="C249" s="14" t="s">
        <v>20</v>
      </c>
      <c r="D249" s="15"/>
      <c r="E249" s="15">
        <v>97.03</v>
      </c>
      <c r="F249" s="31">
        <f t="shared" si="3"/>
        <v>383.07599999999934</v>
      </c>
    </row>
    <row r="250" spans="1:6" x14ac:dyDescent="0.25">
      <c r="A250" s="30">
        <v>45945</v>
      </c>
      <c r="B250" s="13" t="str">
        <f>TEXT(Tabella3[[#This Row],[DATA]],"mmmm")&amp;" "&amp;TEXT(Tabella3[[#This Row],[DATA]],"aaaa")</f>
        <v>ottobre 2025</v>
      </c>
      <c r="C250" s="14" t="s">
        <v>58</v>
      </c>
      <c r="D250" s="15"/>
      <c r="E250" s="15">
        <v>21.5</v>
      </c>
      <c r="F250" s="31">
        <f t="shared" si="3"/>
        <v>361.57599999999934</v>
      </c>
    </row>
    <row r="251" spans="1:6" x14ac:dyDescent="0.25">
      <c r="A251" s="30">
        <v>45945</v>
      </c>
      <c r="B251" s="13" t="str">
        <f>TEXT(Tabella3[[#This Row],[DATA]],"mmmm")&amp;" "&amp;TEXT(Tabella3[[#This Row],[DATA]],"aaaa")</f>
        <v>ottobre 2025</v>
      </c>
      <c r="C251" s="14" t="s">
        <v>24</v>
      </c>
      <c r="D251" s="15"/>
      <c r="E251" s="15">
        <v>53</v>
      </c>
      <c r="F251" s="31">
        <f t="shared" si="3"/>
        <v>308.57599999999934</v>
      </c>
    </row>
    <row r="252" spans="1:6" x14ac:dyDescent="0.25">
      <c r="A252" s="30">
        <v>45945</v>
      </c>
      <c r="B252" s="13" t="str">
        <f>TEXT(Tabella3[[#This Row],[DATA]],"mmmm")&amp;" "&amp;TEXT(Tabella3[[#This Row],[DATA]],"aaaa")</f>
        <v>ottobre 2025</v>
      </c>
      <c r="C252" s="14" t="s">
        <v>12</v>
      </c>
      <c r="D252" s="15"/>
      <c r="E252" s="15">
        <v>10</v>
      </c>
      <c r="F252" s="31">
        <f t="shared" si="3"/>
        <v>298.57599999999934</v>
      </c>
    </row>
    <row r="253" spans="1:6" x14ac:dyDescent="0.25">
      <c r="A253" s="30">
        <v>45945</v>
      </c>
      <c r="B253" s="13" t="str">
        <f>TEXT(Tabella3[[#This Row],[DATA]],"mmmm")&amp;" "&amp;TEXT(Tabella3[[#This Row],[DATA]],"aaaa")</f>
        <v>ottobre 2025</v>
      </c>
      <c r="C253" s="14" t="s">
        <v>15</v>
      </c>
      <c r="D253" s="15"/>
      <c r="E253" s="15">
        <v>-408.23</v>
      </c>
      <c r="F253" s="31">
        <f t="shared" si="3"/>
        <v>706.80599999999936</v>
      </c>
    </row>
    <row r="254" spans="1:6" x14ac:dyDescent="0.25">
      <c r="A254" s="30">
        <v>45945</v>
      </c>
      <c r="B254" s="13" t="str">
        <f>TEXT(Tabella3[[#This Row],[DATA]],"mmmm")&amp;" "&amp;TEXT(Tabella3[[#This Row],[DATA]],"aaaa")</f>
        <v>ottobre 2025</v>
      </c>
      <c r="C254" s="14" t="s">
        <v>15</v>
      </c>
      <c r="D254" s="15"/>
      <c r="E254" s="15">
        <f>136.08+1.2</f>
        <v>137.28</v>
      </c>
      <c r="F254" s="31">
        <f t="shared" si="3"/>
        <v>569.52599999999939</v>
      </c>
    </row>
    <row r="255" spans="1:6" x14ac:dyDescent="0.25">
      <c r="A255" s="30">
        <v>45945</v>
      </c>
      <c r="B255" s="13" t="str">
        <f>TEXT(Tabella3[[#This Row],[DATA]],"mmmm")&amp;" "&amp;TEXT(Tabella3[[#This Row],[DATA]],"aaaa")</f>
        <v>ottobre 2025</v>
      </c>
      <c r="C255" s="14" t="s">
        <v>6</v>
      </c>
      <c r="D255" s="15"/>
      <c r="E255" s="15">
        <v>2</v>
      </c>
      <c r="F255" s="31">
        <f t="shared" si="3"/>
        <v>567.52599999999939</v>
      </c>
    </row>
    <row r="256" spans="1:6" x14ac:dyDescent="0.25">
      <c r="A256" s="30">
        <v>45945</v>
      </c>
      <c r="B256" s="13" t="str">
        <f>TEXT(Tabella3[[#This Row],[DATA]],"mmmm")&amp;" "&amp;TEXT(Tabella3[[#This Row],[DATA]],"aaaa")</f>
        <v>ottobre 2025</v>
      </c>
      <c r="C256" s="14" t="s">
        <v>7</v>
      </c>
      <c r="D256" s="15"/>
      <c r="E256" s="15">
        <v>20</v>
      </c>
      <c r="F256" s="31">
        <f t="shared" si="3"/>
        <v>547.52599999999939</v>
      </c>
    </row>
    <row r="257" spans="1:6" x14ac:dyDescent="0.25">
      <c r="A257" s="30">
        <v>45947</v>
      </c>
      <c r="B257" s="13" t="str">
        <f>TEXT(Tabella3[[#This Row],[DATA]],"mmmm")&amp;" "&amp;TEXT(Tabella3[[#This Row],[DATA]],"aaaa")</f>
        <v>ottobre 2025</v>
      </c>
      <c r="C257" s="14" t="s">
        <v>9</v>
      </c>
      <c r="D257" s="15"/>
      <c r="E257" s="15">
        <v>100</v>
      </c>
      <c r="F257" s="31">
        <f t="shared" si="3"/>
        <v>447.52599999999939</v>
      </c>
    </row>
    <row r="258" spans="1:6" x14ac:dyDescent="0.25">
      <c r="A258" s="30">
        <v>45954</v>
      </c>
      <c r="B258" s="13" t="str">
        <f>TEXT(Tabella3[[#This Row],[DATA]],"mmmm")&amp;" "&amp;TEXT(Tabella3[[#This Row],[DATA]],"aaaa")</f>
        <v>ottobre 2025</v>
      </c>
      <c r="C258" s="14" t="s">
        <v>7</v>
      </c>
      <c r="D258" s="15"/>
      <c r="E258" s="15">
        <v>25.76</v>
      </c>
      <c r="F258" s="34">
        <f t="shared" si="3"/>
        <v>421.76599999999939</v>
      </c>
    </row>
    <row r="259" spans="1:6" x14ac:dyDescent="0.25">
      <c r="A259" s="30">
        <v>45961</v>
      </c>
      <c r="B259" s="13" t="str">
        <f>TEXT(Tabella3[[#This Row],[DATA]],"mmmm")&amp;" "&amp;TEXT(Tabella3[[#This Row],[DATA]],"aaaa")</f>
        <v>ottobre 2025</v>
      </c>
      <c r="C259" s="14">
        <v>76</v>
      </c>
      <c r="D259" s="15"/>
      <c r="E259" s="15">
        <v>307.01</v>
      </c>
      <c r="F259" s="31">
        <f t="shared" ref="F259:F287" si="4">F258-E259+D259</f>
        <v>114.7559999999994</v>
      </c>
    </row>
    <row r="260" spans="1:6" x14ac:dyDescent="0.25">
      <c r="A260" s="30">
        <v>45969</v>
      </c>
      <c r="B260" s="13" t="str">
        <f>TEXT(Tabella3[[#This Row],[DATA]],"mmmm")&amp;" "&amp;TEXT(Tabella3[[#This Row],[DATA]],"aaaa")</f>
        <v>novembre 2025</v>
      </c>
      <c r="C260" s="14" t="s">
        <v>8</v>
      </c>
      <c r="D260" s="15"/>
      <c r="E260" s="15">
        <v>55.67</v>
      </c>
      <c r="F260" s="31">
        <f t="shared" si="4"/>
        <v>59.085999999999402</v>
      </c>
    </row>
    <row r="261" spans="1:6" x14ac:dyDescent="0.25">
      <c r="A261" s="30">
        <v>45971</v>
      </c>
      <c r="B261" s="13" t="str">
        <f>TEXT(Tabella3[[#This Row],[DATA]],"mmmm")&amp;" "&amp;TEXT(Tabella3[[#This Row],[DATA]],"aaaa")</f>
        <v>novembre 2025</v>
      </c>
      <c r="C261" s="14" t="s">
        <v>10</v>
      </c>
      <c r="D261" s="15">
        <v>1815</v>
      </c>
      <c r="E261" s="15"/>
      <c r="F261" s="31">
        <f t="shared" si="4"/>
        <v>1874.0859999999993</v>
      </c>
    </row>
    <row r="262" spans="1:6" x14ac:dyDescent="0.25">
      <c r="A262" s="30">
        <v>45972</v>
      </c>
      <c r="B262" s="13" t="str">
        <f>TEXT(Tabella3[[#This Row],[DATA]],"mmmm")&amp;" "&amp;TEXT(Tabella3[[#This Row],[DATA]],"aaaa")</f>
        <v>novembre 2025</v>
      </c>
      <c r="C262" s="14" t="s">
        <v>11</v>
      </c>
      <c r="D262" s="15"/>
      <c r="E262" s="15">
        <v>500.5</v>
      </c>
      <c r="F262" s="31">
        <f t="shared" si="4"/>
        <v>1373.5859999999993</v>
      </c>
    </row>
    <row r="263" spans="1:6" x14ac:dyDescent="0.25">
      <c r="A263" s="30">
        <v>45972</v>
      </c>
      <c r="B263" s="13" t="str">
        <f>TEXT(Tabella3[[#This Row],[DATA]],"mmmm")&amp;" "&amp;TEXT(Tabella3[[#This Row],[DATA]],"aaaa")</f>
        <v>novembre 2025</v>
      </c>
      <c r="C263" s="14" t="s">
        <v>9</v>
      </c>
      <c r="D263" s="15"/>
      <c r="E263" s="15">
        <v>70</v>
      </c>
      <c r="F263" s="31">
        <f t="shared" si="4"/>
        <v>1303.5859999999993</v>
      </c>
    </row>
    <row r="264" spans="1:6" x14ac:dyDescent="0.25">
      <c r="A264" s="30">
        <v>45977</v>
      </c>
      <c r="B264" s="13" t="str">
        <f>TEXT(Tabella3[[#This Row],[DATA]],"mmmm")&amp;" "&amp;TEXT(Tabella3[[#This Row],[DATA]],"aaaa")</f>
        <v>novembre 2025</v>
      </c>
      <c r="C264" s="14" t="s">
        <v>56</v>
      </c>
      <c r="D264" s="15"/>
      <c r="E264" s="15">
        <v>39.83</v>
      </c>
      <c r="F264" s="31">
        <f t="shared" si="4"/>
        <v>1263.7559999999994</v>
      </c>
    </row>
    <row r="265" spans="1:6" x14ac:dyDescent="0.25">
      <c r="A265" s="30">
        <v>45977</v>
      </c>
      <c r="B265" s="13" t="str">
        <f>TEXT(Tabella3[[#This Row],[DATA]],"mmmm")&amp;" "&amp;TEXT(Tabella3[[#This Row],[DATA]],"aaaa")</f>
        <v>novembre 2025</v>
      </c>
      <c r="C265" s="14" t="s">
        <v>23</v>
      </c>
      <c r="D265" s="15"/>
      <c r="E265" s="15">
        <v>19</v>
      </c>
      <c r="F265" s="31">
        <f t="shared" si="4"/>
        <v>1244.7559999999994</v>
      </c>
    </row>
    <row r="266" spans="1:6" x14ac:dyDescent="0.25">
      <c r="A266" s="30">
        <v>45977</v>
      </c>
      <c r="B266" s="13" t="str">
        <f>TEXT(Tabella3[[#This Row],[DATA]],"mmmm")&amp;" "&amp;TEXT(Tabella3[[#This Row],[DATA]],"aaaa")</f>
        <v>novembre 2025</v>
      </c>
      <c r="C266" s="14" t="s">
        <v>24</v>
      </c>
      <c r="D266" s="15"/>
      <c r="E266" s="15">
        <v>53</v>
      </c>
      <c r="F266" s="31">
        <f t="shared" si="4"/>
        <v>1191.7559999999994</v>
      </c>
    </row>
    <row r="267" spans="1:6" x14ac:dyDescent="0.25">
      <c r="A267" s="30">
        <v>45977</v>
      </c>
      <c r="B267" s="13" t="str">
        <f>TEXT(Tabella3[[#This Row],[DATA]],"mmmm")&amp;" "&amp;TEXT(Tabella3[[#This Row],[DATA]],"aaaa")</f>
        <v>novembre 2025</v>
      </c>
      <c r="C267" s="14" t="s">
        <v>15</v>
      </c>
      <c r="D267" s="15"/>
      <c r="E267" s="15">
        <f>136.08+1.2</f>
        <v>137.28</v>
      </c>
      <c r="F267" s="31">
        <f t="shared" si="4"/>
        <v>1054.4759999999994</v>
      </c>
    </row>
    <row r="268" spans="1:6" x14ac:dyDescent="0.25">
      <c r="A268" s="30">
        <v>45977</v>
      </c>
      <c r="B268" s="13" t="str">
        <f>TEXT(Tabella3[[#This Row],[DATA]],"mmmm")&amp;" "&amp;TEXT(Tabella3[[#This Row],[DATA]],"aaaa")</f>
        <v>novembre 2025</v>
      </c>
      <c r="C268" s="14" t="s">
        <v>59</v>
      </c>
      <c r="D268" s="15"/>
      <c r="E268" s="15">
        <v>21</v>
      </c>
      <c r="F268" s="31">
        <f t="shared" si="4"/>
        <v>1033.4759999999994</v>
      </c>
    </row>
    <row r="269" spans="1:6" x14ac:dyDescent="0.25">
      <c r="A269" s="30">
        <v>45977</v>
      </c>
      <c r="B269" s="13" t="str">
        <f>TEXT(Tabella3[[#This Row],[DATA]],"mmmm")&amp;" "&amp;TEXT(Tabella3[[#This Row],[DATA]],"aaaa")</f>
        <v>novembre 2025</v>
      </c>
      <c r="C269" s="14" t="s">
        <v>60</v>
      </c>
      <c r="D269" s="15"/>
      <c r="E269" s="15">
        <v>16.850000000000001</v>
      </c>
      <c r="F269" s="31">
        <f t="shared" si="4"/>
        <v>1016.6259999999994</v>
      </c>
    </row>
    <row r="270" spans="1:6" x14ac:dyDescent="0.25">
      <c r="A270" s="30">
        <v>45977</v>
      </c>
      <c r="B270" s="13" t="str">
        <f>TEXT(Tabella3[[#This Row],[DATA]],"mmmm")&amp;" "&amp;TEXT(Tabella3[[#This Row],[DATA]],"aaaa")</f>
        <v>novembre 2025</v>
      </c>
      <c r="C270" s="14" t="s">
        <v>61</v>
      </c>
      <c r="D270" s="15"/>
      <c r="E270" s="15">
        <v>12.46</v>
      </c>
      <c r="F270" s="31">
        <f t="shared" si="4"/>
        <v>1004.1659999999994</v>
      </c>
    </row>
    <row r="271" spans="1:6" x14ac:dyDescent="0.25">
      <c r="A271" s="32">
        <v>45977</v>
      </c>
      <c r="B271" s="17" t="str">
        <f>TEXT(Tabella3[[#This Row],[DATA]],"mmmm")&amp;" "&amp;TEXT(Tabella3[[#This Row],[DATA]],"aaaa")</f>
        <v>novembre 2025</v>
      </c>
      <c r="C271" s="18" t="s">
        <v>16</v>
      </c>
      <c r="D271" s="19"/>
      <c r="E271" s="15">
        <v>88.31</v>
      </c>
      <c r="F271" s="31">
        <f t="shared" si="4"/>
        <v>915.85599999999931</v>
      </c>
    </row>
    <row r="272" spans="1:6" x14ac:dyDescent="0.25">
      <c r="A272" s="32">
        <v>45977</v>
      </c>
      <c r="B272" s="17" t="str">
        <f>TEXT(Tabella3[[#This Row],[DATA]],"mmmm")&amp;" "&amp;TEXT(Tabella3[[#This Row],[DATA]],"aaaa")</f>
        <v>novembre 2025</v>
      </c>
      <c r="C272" s="18" t="s">
        <v>7</v>
      </c>
      <c r="D272" s="19"/>
      <c r="E272" s="19">
        <v>25.54</v>
      </c>
      <c r="F272" s="31">
        <f t="shared" si="4"/>
        <v>890.31599999999935</v>
      </c>
    </row>
    <row r="273" spans="1:6" x14ac:dyDescent="0.25">
      <c r="A273" s="32">
        <v>45977</v>
      </c>
      <c r="B273" s="17" t="str">
        <f>TEXT(Tabella3[[#This Row],[DATA]],"mmmm")&amp;" "&amp;TEXT(Tabella3[[#This Row],[DATA]],"aaaa")</f>
        <v>novembre 2025</v>
      </c>
      <c r="C273" s="18" t="s">
        <v>15</v>
      </c>
      <c r="D273" s="19"/>
      <c r="E273" s="15">
        <f>83.39+4.6</f>
        <v>87.99</v>
      </c>
      <c r="F273" s="31">
        <f t="shared" si="4"/>
        <v>802.32599999999934</v>
      </c>
    </row>
    <row r="274" spans="1:6" x14ac:dyDescent="0.25">
      <c r="A274" s="32">
        <v>45977</v>
      </c>
      <c r="B274" s="17" t="str">
        <f>TEXT(Tabella3[[#This Row],[DATA]],"mmmm")&amp;" "&amp;TEXT(Tabella3[[#This Row],[DATA]],"aaaa")</f>
        <v>novembre 2025</v>
      </c>
      <c r="C274" s="18" t="s">
        <v>13</v>
      </c>
      <c r="D274" s="19"/>
      <c r="E274" s="15">
        <v>4.99</v>
      </c>
      <c r="F274" s="31">
        <f t="shared" si="4"/>
        <v>797.33599999999933</v>
      </c>
    </row>
    <row r="275" spans="1:6" x14ac:dyDescent="0.25">
      <c r="A275" s="32">
        <v>45977</v>
      </c>
      <c r="B275" s="17" t="str">
        <f>TEXT(Tabella3[[#This Row],[DATA]],"mmmm")&amp;" "&amp;TEXT(Tabella3[[#This Row],[DATA]],"aaaa")</f>
        <v>novembre 2025</v>
      </c>
      <c r="C275" s="18" t="s">
        <v>15</v>
      </c>
      <c r="D275" s="19"/>
      <c r="E275" s="15">
        <f>153.64+1.2</f>
        <v>154.83999999999997</v>
      </c>
      <c r="F275" s="31">
        <f t="shared" si="4"/>
        <v>642.49599999999941</v>
      </c>
    </row>
    <row r="276" spans="1:6" x14ac:dyDescent="0.25">
      <c r="A276" s="32">
        <v>45977</v>
      </c>
      <c r="B276" s="17" t="str">
        <f>TEXT(Tabella3[[#This Row],[DATA]],"mmmm")&amp;" "&amp;TEXT(Tabella3[[#This Row],[DATA]],"aaaa")</f>
        <v>novembre 2025</v>
      </c>
      <c r="C276" s="18" t="s">
        <v>14</v>
      </c>
      <c r="D276" s="19"/>
      <c r="E276" s="15">
        <v>52.41</v>
      </c>
      <c r="F276" s="31">
        <f t="shared" si="4"/>
        <v>590.08599999999944</v>
      </c>
    </row>
    <row r="277" spans="1:6" x14ac:dyDescent="0.25">
      <c r="A277" s="32">
        <v>45977</v>
      </c>
      <c r="B277" s="17" t="str">
        <f>TEXT(Tabella3[[#This Row],[DATA]],"mmmm")&amp;" "&amp;TEXT(Tabella3[[#This Row],[DATA]],"aaaa")</f>
        <v>novembre 2025</v>
      </c>
      <c r="C277" s="18" t="s">
        <v>62</v>
      </c>
      <c r="D277" s="19"/>
      <c r="E277" s="15">
        <v>31.63</v>
      </c>
      <c r="F277" s="31">
        <f t="shared" si="4"/>
        <v>558.45599999999945</v>
      </c>
    </row>
    <row r="278" spans="1:6" x14ac:dyDescent="0.25">
      <c r="A278" s="32">
        <v>45977</v>
      </c>
      <c r="B278" s="17" t="str">
        <f>TEXT(Tabella3[[#This Row],[DATA]],"mmmm")&amp;" "&amp;TEXT(Tabella3[[#This Row],[DATA]],"aaaa")</f>
        <v>novembre 2025</v>
      </c>
      <c r="C278" s="18" t="s">
        <v>63</v>
      </c>
      <c r="D278" s="19"/>
      <c r="E278" s="15">
        <v>34</v>
      </c>
      <c r="F278" s="31">
        <f t="shared" si="4"/>
        <v>524.45599999999945</v>
      </c>
    </row>
    <row r="279" spans="1:6" x14ac:dyDescent="0.25">
      <c r="A279" s="32">
        <v>45977</v>
      </c>
      <c r="B279" s="17" t="str">
        <f>TEXT(Tabella3[[#This Row],[DATA]],"mmmm")&amp;" "&amp;TEXT(Tabella3[[#This Row],[DATA]],"aaaa")</f>
        <v>novembre 2025</v>
      </c>
      <c r="C279" s="18" t="s">
        <v>26</v>
      </c>
      <c r="D279" s="19"/>
      <c r="E279" s="15">
        <v>99.23</v>
      </c>
      <c r="F279" s="31">
        <f t="shared" si="4"/>
        <v>425.22599999999943</v>
      </c>
    </row>
    <row r="280" spans="1:6" x14ac:dyDescent="0.25">
      <c r="A280" s="32">
        <v>45977</v>
      </c>
      <c r="B280" s="17" t="str">
        <f>TEXT(Tabella3[[#This Row],[DATA]],"mmmm")&amp;" "&amp;TEXT(Tabella3[[#This Row],[DATA]],"aaaa")</f>
        <v>novembre 2025</v>
      </c>
      <c r="C280" s="18" t="s">
        <v>64</v>
      </c>
      <c r="D280" s="19"/>
      <c r="E280" s="15">
        <v>127.95</v>
      </c>
      <c r="F280" s="31">
        <f t="shared" si="4"/>
        <v>297.27599999999944</v>
      </c>
    </row>
    <row r="281" spans="1:6" x14ac:dyDescent="0.25">
      <c r="A281" s="32">
        <v>45977</v>
      </c>
      <c r="B281" s="17" t="str">
        <f>TEXT(Tabella3[[#This Row],[DATA]],"mmmm")&amp;" "&amp;TEXT(Tabella3[[#This Row],[DATA]],"aaaa")</f>
        <v>novembre 2025</v>
      </c>
      <c r="C281" s="18" t="s">
        <v>15</v>
      </c>
      <c r="D281" s="35"/>
      <c r="E281" s="27">
        <f>-53-99.23-88.31-52.41-127.95</f>
        <v>-420.90000000000003</v>
      </c>
      <c r="F281" s="31">
        <f t="shared" si="4"/>
        <v>718.17599999999948</v>
      </c>
    </row>
    <row r="282" spans="1:6" x14ac:dyDescent="0.25">
      <c r="A282" s="32">
        <v>45977</v>
      </c>
      <c r="B282" s="17" t="str">
        <f>TEXT(Tabella3[[#This Row],[DATA]],"mmmm")&amp;" "&amp;TEXT(Tabella3[[#This Row],[DATA]],"aaaa")</f>
        <v>novembre 2025</v>
      </c>
      <c r="C282" s="18" t="s">
        <v>15</v>
      </c>
      <c r="D282" s="35"/>
      <c r="E282" s="27">
        <f>140.3+1.2</f>
        <v>141.5</v>
      </c>
      <c r="F282" s="31">
        <f t="shared" si="4"/>
        <v>576.67599999999948</v>
      </c>
    </row>
    <row r="283" spans="1:6" x14ac:dyDescent="0.25">
      <c r="A283" s="32">
        <v>45977</v>
      </c>
      <c r="B283" s="17" t="str">
        <f>TEXT(Tabella3[[#This Row],[DATA]],"mmmm")&amp;" "&amp;TEXT(Tabella3[[#This Row],[DATA]],"aaaa")</f>
        <v>novembre 2025</v>
      </c>
      <c r="C283" s="18" t="s">
        <v>65</v>
      </c>
      <c r="D283" s="35"/>
      <c r="E283" s="27">
        <v>22.01</v>
      </c>
      <c r="F283" s="31">
        <f t="shared" si="4"/>
        <v>554.66599999999949</v>
      </c>
    </row>
    <row r="284" spans="1:6" x14ac:dyDescent="0.25">
      <c r="A284" s="32">
        <v>45977</v>
      </c>
      <c r="B284" s="17" t="str">
        <f>TEXT(Tabella3[[#This Row],[DATA]],"mmmm")&amp;" "&amp;TEXT(Tabella3[[#This Row],[DATA]],"aaaa")</f>
        <v>novembre 2025</v>
      </c>
      <c r="C284" s="18" t="s">
        <v>28</v>
      </c>
      <c r="D284" s="35"/>
      <c r="E284" s="27">
        <v>10.210000000000001</v>
      </c>
      <c r="F284" s="31">
        <f t="shared" si="4"/>
        <v>544.45599999999945</v>
      </c>
    </row>
    <row r="285" spans="1:6" x14ac:dyDescent="0.25">
      <c r="A285" s="32">
        <v>45977</v>
      </c>
      <c r="B285" s="17" t="str">
        <f>TEXT(Tabella3[[#This Row],[DATA]],"mmmm")&amp;" "&amp;TEXT(Tabella3[[#This Row],[DATA]],"aaaa")</f>
        <v>novembre 2025</v>
      </c>
      <c r="C285" s="18" t="s">
        <v>66</v>
      </c>
      <c r="D285" s="35"/>
      <c r="E285" s="27">
        <v>30</v>
      </c>
      <c r="F285" s="31">
        <f t="shared" si="4"/>
        <v>514.45599999999945</v>
      </c>
    </row>
    <row r="286" spans="1:6" x14ac:dyDescent="0.25">
      <c r="A286" s="32">
        <v>45977</v>
      </c>
      <c r="B286" s="17" t="str">
        <f>TEXT(Tabella3[[#This Row],[DATA]],"mmmm")&amp;" "&amp;TEXT(Tabella3[[#This Row],[DATA]],"aaaa")</f>
        <v>novembre 2025</v>
      </c>
      <c r="C286" s="18" t="s">
        <v>6</v>
      </c>
      <c r="D286" s="35"/>
      <c r="E286" s="27">
        <v>2</v>
      </c>
      <c r="F286" s="31">
        <f t="shared" si="4"/>
        <v>512.45599999999945</v>
      </c>
    </row>
    <row r="287" spans="1:6" x14ac:dyDescent="0.25">
      <c r="A287" s="32">
        <v>45982</v>
      </c>
      <c r="B287" s="17" t="str">
        <f>TEXT(Tabella3[[#This Row],[DATA]],"mmmm")&amp;" "&amp;TEXT(Tabella3[[#This Row],[DATA]],"aaaa")</f>
        <v>novembre 2025</v>
      </c>
      <c r="C287" s="18" t="s">
        <v>37</v>
      </c>
      <c r="D287" s="19"/>
      <c r="E287" s="15">
        <v>51.82</v>
      </c>
      <c r="F287" s="31">
        <f t="shared" si="4"/>
        <v>460.63599999999946</v>
      </c>
    </row>
    <row r="288" spans="1:6" x14ac:dyDescent="0.25">
      <c r="A288" s="32">
        <v>45982</v>
      </c>
      <c r="B288" s="17" t="str">
        <f>TEXT(Tabella3[[#This Row],[DATA]],"mmmm")&amp;" "&amp;TEXT(Tabella3[[#This Row],[DATA]],"aaaa")</f>
        <v>novembre 2025</v>
      </c>
      <c r="C288" s="18" t="s">
        <v>9</v>
      </c>
      <c r="D288" s="19"/>
      <c r="E288" s="15">
        <f>150+2</f>
        <v>152</v>
      </c>
      <c r="F288" s="31">
        <f t="shared" ref="F288:F351" si="5">F287-E288+D288</f>
        <v>308.63599999999946</v>
      </c>
    </row>
    <row r="289" spans="1:6" x14ac:dyDescent="0.25">
      <c r="A289" s="32">
        <v>45991</v>
      </c>
      <c r="B289" s="17" t="str">
        <f>TEXT(Tabella3[[#This Row],[DATA]],"mmmm")&amp;" "&amp;TEXT(Tabella3[[#This Row],[DATA]],"aaaa")</f>
        <v>novembre 2025</v>
      </c>
      <c r="C289" s="18" t="s">
        <v>18</v>
      </c>
      <c r="D289" s="19"/>
      <c r="E289" s="15">
        <v>307.73</v>
      </c>
      <c r="F289" s="31">
        <f t="shared" si="5"/>
        <v>0.90599999999943748</v>
      </c>
    </row>
    <row r="290" spans="1:6" x14ac:dyDescent="0.25">
      <c r="A290" s="32">
        <v>45992</v>
      </c>
      <c r="B290" s="17" t="str">
        <f>TEXT(Tabella3[[#This Row],[DATA]],"mmmm")&amp;" "&amp;TEXT(Tabella3[[#This Row],[DATA]],"aaaa")</f>
        <v>dicembre 2025</v>
      </c>
      <c r="C290" s="18" t="s">
        <v>7</v>
      </c>
      <c r="D290" s="19"/>
      <c r="E290" s="15">
        <v>26.97</v>
      </c>
      <c r="F290" s="31">
        <f t="shared" si="5"/>
        <v>-26.064000000000561</v>
      </c>
    </row>
    <row r="291" spans="1:6" x14ac:dyDescent="0.25">
      <c r="A291" s="32">
        <v>45994</v>
      </c>
      <c r="B291" s="17" t="str">
        <f>TEXT(Tabella3[[#This Row],[DATA]],"mmmm")&amp;" "&amp;TEXT(Tabella3[[#This Row],[DATA]],"aaaa")</f>
        <v>dicembre 2025</v>
      </c>
      <c r="C291" s="18" t="s">
        <v>37</v>
      </c>
      <c r="D291" s="19"/>
      <c r="E291" s="15">
        <v>76.77</v>
      </c>
      <c r="F291" s="31">
        <f t="shared" si="5"/>
        <v>-102.83400000000056</v>
      </c>
    </row>
    <row r="292" spans="1:6" x14ac:dyDescent="0.25">
      <c r="A292" s="32">
        <v>45999</v>
      </c>
      <c r="B292" s="17" t="str">
        <f>TEXT(Tabella3[[#This Row],[DATA]],"mmmm")&amp;" "&amp;TEXT(Tabella3[[#This Row],[DATA]],"aaaa")</f>
        <v>dicembre 2025</v>
      </c>
      <c r="C292" s="18" t="s">
        <v>8</v>
      </c>
      <c r="D292" s="19"/>
      <c r="E292" s="15">
        <v>55.67</v>
      </c>
      <c r="F292" s="31">
        <f t="shared" si="5"/>
        <v>-158.50400000000056</v>
      </c>
    </row>
    <row r="293" spans="1:6" x14ac:dyDescent="0.25">
      <c r="A293" s="30">
        <v>46002</v>
      </c>
      <c r="B293" s="13" t="str">
        <f>TEXT(Tabella3[[#This Row],[DATA]],"mmmm")&amp;" "&amp;TEXT(Tabella3[[#This Row],[DATA]],"aaaa")</f>
        <v>dicembre 2025</v>
      </c>
      <c r="C293" s="14" t="s">
        <v>25</v>
      </c>
      <c r="D293" s="15"/>
      <c r="E293" s="36">
        <v>268.89999999999998</v>
      </c>
      <c r="F293" s="31">
        <f t="shared" si="5"/>
        <v>-427.40400000000056</v>
      </c>
    </row>
    <row r="294" spans="1:6" x14ac:dyDescent="0.25">
      <c r="A294" s="30">
        <v>46002</v>
      </c>
      <c r="B294" s="13" t="str">
        <f>TEXT(Tabella3[[#This Row],[DATA]],"mmmm")&amp;" "&amp;TEXT(Tabella3[[#This Row],[DATA]],"aaaa")</f>
        <v>dicembre 2025</v>
      </c>
      <c r="C294" s="14" t="s">
        <v>10</v>
      </c>
      <c r="D294" s="15">
        <v>2025</v>
      </c>
      <c r="E294" s="15"/>
      <c r="F294" s="31">
        <f t="shared" si="5"/>
        <v>1597.5959999999995</v>
      </c>
    </row>
    <row r="295" spans="1:6" x14ac:dyDescent="0.25">
      <c r="A295" s="30">
        <v>46002</v>
      </c>
      <c r="B295" s="13" t="str">
        <f>TEXT(Tabella3[[#This Row],[DATA]],"mmmm")&amp;" "&amp;TEXT(Tabella3[[#This Row],[DATA]],"aaaa")</f>
        <v>dicembre 2025</v>
      </c>
      <c r="C295" s="14" t="s">
        <v>11</v>
      </c>
      <c r="D295" s="15"/>
      <c r="E295" s="15">
        <v>500.5</v>
      </c>
      <c r="F295" s="31">
        <f t="shared" si="5"/>
        <v>1097.0959999999995</v>
      </c>
    </row>
    <row r="296" spans="1:6" x14ac:dyDescent="0.25">
      <c r="A296" s="30">
        <v>46002</v>
      </c>
      <c r="B296" s="13" t="str">
        <f>TEXT(Tabella3[[#This Row],[DATA]],"mmmm")&amp;" "&amp;TEXT(Tabella3[[#This Row],[DATA]],"aaaa")</f>
        <v>dicembre 2025</v>
      </c>
      <c r="C296" s="14" t="s">
        <v>7</v>
      </c>
      <c r="D296" s="15"/>
      <c r="E296" s="15">
        <v>46.5</v>
      </c>
      <c r="F296" s="31">
        <f t="shared" si="5"/>
        <v>1050.5959999999995</v>
      </c>
    </row>
    <row r="297" spans="1:6" x14ac:dyDescent="0.25">
      <c r="A297" s="30">
        <v>46004</v>
      </c>
      <c r="B297" s="13" t="str">
        <f>TEXT(Tabella3[[#This Row],[DATA]],"mmmm")&amp;" "&amp;TEXT(Tabella3[[#This Row],[DATA]],"aaaa")</f>
        <v>dicembre 2025</v>
      </c>
      <c r="C297" s="14" t="s">
        <v>9</v>
      </c>
      <c r="D297" s="15"/>
      <c r="E297" s="15">
        <v>62</v>
      </c>
      <c r="F297" s="31">
        <f t="shared" si="5"/>
        <v>988.59599999999955</v>
      </c>
    </row>
    <row r="298" spans="1:6" x14ac:dyDescent="0.25">
      <c r="A298" s="30">
        <v>46006</v>
      </c>
      <c r="B298" s="13" t="str">
        <f>TEXT(Tabella3[[#This Row],[DATA]],"mmmm")&amp;" "&amp;TEXT(Tabella3[[#This Row],[DATA]],"aaaa")</f>
        <v>dicembre 2025</v>
      </c>
      <c r="C298" s="14" t="s">
        <v>56</v>
      </c>
      <c r="D298" s="15"/>
      <c r="E298" s="15">
        <v>118.5</v>
      </c>
      <c r="F298" s="31">
        <f t="shared" si="5"/>
        <v>870.09599999999955</v>
      </c>
    </row>
    <row r="299" spans="1:6" x14ac:dyDescent="0.25">
      <c r="A299" s="30">
        <v>46006</v>
      </c>
      <c r="B299" s="13" t="str">
        <f>TEXT(Tabella3[[#This Row],[DATA]],"mmmm")&amp;" "&amp;TEXT(Tabella3[[#This Row],[DATA]],"aaaa")</f>
        <v>dicembre 2025</v>
      </c>
      <c r="C299" s="14" t="s">
        <v>15</v>
      </c>
      <c r="D299" s="15"/>
      <c r="E299" s="15">
        <f>136.08+1.2</f>
        <v>137.28</v>
      </c>
      <c r="F299" s="31">
        <f t="shared" si="5"/>
        <v>732.81599999999958</v>
      </c>
    </row>
    <row r="300" spans="1:6" x14ac:dyDescent="0.25">
      <c r="A300" s="30">
        <v>46006</v>
      </c>
      <c r="B300" s="13" t="str">
        <f>TEXT(Tabella3[[#This Row],[DATA]],"mmmm")&amp;" "&amp;TEXT(Tabella3[[#This Row],[DATA]],"aaaa")</f>
        <v>dicembre 2025</v>
      </c>
      <c r="C300" s="14" t="s">
        <v>15</v>
      </c>
      <c r="D300" s="27"/>
      <c r="E300" s="27">
        <f>140.3+1.2</f>
        <v>141.5</v>
      </c>
      <c r="F300" s="31">
        <f t="shared" si="5"/>
        <v>591.31599999999958</v>
      </c>
    </row>
    <row r="301" spans="1:6" x14ac:dyDescent="0.25">
      <c r="A301" s="30">
        <v>46006</v>
      </c>
      <c r="B301" s="13" t="str">
        <f>TEXT(Tabella3[[#This Row],[DATA]],"mmmm")&amp;" "&amp;TEXT(Tabella3[[#This Row],[DATA]],"aaaa")</f>
        <v>dicembre 2025</v>
      </c>
      <c r="C301" s="14" t="s">
        <v>56</v>
      </c>
      <c r="D301" s="15"/>
      <c r="E301" s="15">
        <v>39.83</v>
      </c>
      <c r="F301" s="31">
        <f t="shared" si="5"/>
        <v>551.48599999999954</v>
      </c>
    </row>
    <row r="302" spans="1:6" x14ac:dyDescent="0.25">
      <c r="A302" s="30">
        <v>46006</v>
      </c>
      <c r="B302" s="13" t="str">
        <f>TEXT(Tabella3[[#This Row],[DATA]],"mmmm")&amp;" "&amp;TEXT(Tabella3[[#This Row],[DATA]],"aaaa")</f>
        <v>dicembre 2025</v>
      </c>
      <c r="C302" s="14" t="s">
        <v>62</v>
      </c>
      <c r="D302" s="15"/>
      <c r="E302" s="15">
        <v>31.63</v>
      </c>
      <c r="F302" s="31">
        <f t="shared" si="5"/>
        <v>519.85599999999954</v>
      </c>
    </row>
    <row r="303" spans="1:6" x14ac:dyDescent="0.25">
      <c r="A303" s="30">
        <v>46006</v>
      </c>
      <c r="B303" s="13" t="str">
        <f>TEXT(Tabella3[[#This Row],[DATA]],"mmmm")&amp;" "&amp;TEXT(Tabella3[[#This Row],[DATA]],"aaaa")</f>
        <v>dicembre 2025</v>
      </c>
      <c r="C303" s="14" t="s">
        <v>15</v>
      </c>
      <c r="D303" s="15"/>
      <c r="E303" s="15">
        <f>83.39+4.6</f>
        <v>87.99</v>
      </c>
      <c r="F303" s="31">
        <f t="shared" si="5"/>
        <v>431.86599999999953</v>
      </c>
    </row>
    <row r="304" spans="1:6" x14ac:dyDescent="0.25">
      <c r="A304" s="30">
        <v>46006</v>
      </c>
      <c r="B304" s="13" t="str">
        <f>TEXT(Tabella3[[#This Row],[DATA]],"mmmm")&amp;" "&amp;TEXT(Tabella3[[#This Row],[DATA]],"aaaa")</f>
        <v>dicembre 2025</v>
      </c>
      <c r="C304" s="14" t="s">
        <v>13</v>
      </c>
      <c r="D304" s="15"/>
      <c r="E304" s="15">
        <v>4.99</v>
      </c>
      <c r="F304" s="31">
        <f t="shared" si="5"/>
        <v>426.87599999999952</v>
      </c>
    </row>
    <row r="305" spans="1:6" x14ac:dyDescent="0.25">
      <c r="A305" s="30">
        <v>46006</v>
      </c>
      <c r="B305" s="13" t="str">
        <f>TEXT(Tabella3[[#This Row],[DATA]],"mmmm")&amp;" "&amp;TEXT(Tabella3[[#This Row],[DATA]],"aaaa")</f>
        <v>dicembre 2025</v>
      </c>
      <c r="C305" s="14" t="s">
        <v>67</v>
      </c>
      <c r="D305" s="15"/>
      <c r="E305" s="15">
        <v>16</v>
      </c>
      <c r="F305" s="31">
        <f t="shared" si="5"/>
        <v>410.87599999999952</v>
      </c>
    </row>
    <row r="306" spans="1:6" x14ac:dyDescent="0.25">
      <c r="A306" s="30">
        <v>46006</v>
      </c>
      <c r="B306" s="13" t="str">
        <f>TEXT(Tabella3[[#This Row],[DATA]],"mmmm")&amp;" "&amp;TEXT(Tabella3[[#This Row],[DATA]],"aaaa")</f>
        <v>dicembre 2025</v>
      </c>
      <c r="C306" s="14" t="s">
        <v>7</v>
      </c>
      <c r="D306" s="15"/>
      <c r="E306" s="15">
        <v>40.29</v>
      </c>
      <c r="F306" s="31">
        <f t="shared" si="5"/>
        <v>370.5859999999995</v>
      </c>
    </row>
    <row r="307" spans="1:6" x14ac:dyDescent="0.25">
      <c r="A307" s="30">
        <v>46006</v>
      </c>
      <c r="B307" s="13" t="str">
        <f>TEXT(Tabella3[[#This Row],[DATA]],"mmmm")&amp;" "&amp;TEXT(Tabella3[[#This Row],[DATA]],"aaaa")</f>
        <v>dicembre 2025</v>
      </c>
      <c r="C307" s="14" t="s">
        <v>26</v>
      </c>
      <c r="D307" s="15"/>
      <c r="E307" s="15">
        <v>23.49</v>
      </c>
      <c r="F307" s="31">
        <f t="shared" si="5"/>
        <v>347.09599999999949</v>
      </c>
    </row>
    <row r="308" spans="1:6" x14ac:dyDescent="0.25">
      <c r="A308" s="30">
        <v>46006</v>
      </c>
      <c r="B308" s="13" t="str">
        <f>TEXT(Tabella3[[#This Row],[DATA]],"mmmm")&amp;" "&amp;TEXT(Tabella3[[#This Row],[DATA]],"aaaa")</f>
        <v>dicembre 2025</v>
      </c>
      <c r="C308" s="14" t="s">
        <v>68</v>
      </c>
      <c r="D308" s="15"/>
      <c r="E308" s="15">
        <v>26.5</v>
      </c>
      <c r="F308" s="31">
        <f t="shared" si="5"/>
        <v>320.59599999999949</v>
      </c>
    </row>
    <row r="309" spans="1:6" x14ac:dyDescent="0.25">
      <c r="A309" s="30">
        <v>46006</v>
      </c>
      <c r="B309" s="13" t="str">
        <f>TEXT(Tabella3[[#This Row],[DATA]],"mmmm")&amp;" "&amp;TEXT(Tabella3[[#This Row],[DATA]],"aaaa")</f>
        <v>dicembre 2025</v>
      </c>
      <c r="C309" s="14" t="s">
        <v>14</v>
      </c>
      <c r="D309" s="15"/>
      <c r="E309" s="15">
        <v>83.57</v>
      </c>
      <c r="F309" s="31">
        <f t="shared" si="5"/>
        <v>237.0259999999995</v>
      </c>
    </row>
    <row r="310" spans="1:6" x14ac:dyDescent="0.25">
      <c r="A310" s="30">
        <v>46006</v>
      </c>
      <c r="B310" s="13" t="str">
        <f>TEXT(Tabella3[[#This Row],[DATA]],"mmmm")&amp;" "&amp;TEXT(Tabella3[[#This Row],[DATA]],"aaaa")</f>
        <v>dicembre 2025</v>
      </c>
      <c r="C310" s="14" t="s">
        <v>12</v>
      </c>
      <c r="D310" s="15"/>
      <c r="E310" s="15">
        <v>10</v>
      </c>
      <c r="F310" s="31">
        <f t="shared" si="5"/>
        <v>227.0259999999995</v>
      </c>
    </row>
    <row r="311" spans="1:6" x14ac:dyDescent="0.25">
      <c r="A311" s="30">
        <v>46006</v>
      </c>
      <c r="B311" s="13" t="str">
        <f>TEXT(Tabella3[[#This Row],[DATA]],"mmmm")&amp;" "&amp;TEXT(Tabella3[[#This Row],[DATA]],"aaaa")</f>
        <v>dicembre 2025</v>
      </c>
      <c r="C311" s="14" t="s">
        <v>47</v>
      </c>
      <c r="D311" s="15"/>
      <c r="E311" s="15">
        <v>200</v>
      </c>
      <c r="F311" s="31">
        <f t="shared" si="5"/>
        <v>27.025999999999499</v>
      </c>
    </row>
    <row r="312" spans="1:6" x14ac:dyDescent="0.25">
      <c r="A312" s="30">
        <v>46006</v>
      </c>
      <c r="B312" s="13" t="str">
        <f>TEXT(Tabella3[[#This Row],[DATA]],"mmmm")&amp;" "&amp;TEXT(Tabella3[[#This Row],[DATA]],"aaaa")</f>
        <v>dicembre 2025</v>
      </c>
      <c r="C312" s="14" t="s">
        <v>22</v>
      </c>
      <c r="D312" s="15"/>
      <c r="E312" s="15">
        <v>55</v>
      </c>
      <c r="F312" s="31">
        <f t="shared" si="5"/>
        <v>-27.974000000000501</v>
      </c>
    </row>
    <row r="313" spans="1:6" x14ac:dyDescent="0.25">
      <c r="A313" s="30">
        <v>46006</v>
      </c>
      <c r="B313" s="13" t="str">
        <f>TEXT(Tabella3[[#This Row],[DATA]],"mmmm")&amp;" "&amp;TEXT(Tabella3[[#This Row],[DATA]],"aaaa")</f>
        <v>dicembre 2025</v>
      </c>
      <c r="C313" s="14" t="s">
        <v>7</v>
      </c>
      <c r="D313" s="15"/>
      <c r="E313" s="15">
        <v>22.68</v>
      </c>
      <c r="F313" s="31">
        <f t="shared" si="5"/>
        <v>-50.654000000000501</v>
      </c>
    </row>
    <row r="314" spans="1:6" x14ac:dyDescent="0.25">
      <c r="A314" s="30">
        <v>46006</v>
      </c>
      <c r="B314" s="13" t="str">
        <f>TEXT(Tabella3[[#This Row],[DATA]],"mmmm")&amp;" "&amp;TEXT(Tabella3[[#This Row],[DATA]],"aaaa")</f>
        <v>dicembre 2025</v>
      </c>
      <c r="C314" s="14" t="s">
        <v>23</v>
      </c>
      <c r="D314" s="15"/>
      <c r="E314" s="15">
        <v>11.5</v>
      </c>
      <c r="F314" s="31">
        <f t="shared" si="5"/>
        <v>-62.154000000000501</v>
      </c>
    </row>
    <row r="315" spans="1:6" x14ac:dyDescent="0.25">
      <c r="A315" s="30">
        <v>46006</v>
      </c>
      <c r="B315" s="13" t="str">
        <f>TEXT(Tabella3[[#This Row],[DATA]],"mmmm")&amp;" "&amp;TEXT(Tabella3[[#This Row],[DATA]],"aaaa")</f>
        <v>dicembre 2025</v>
      </c>
      <c r="C315" s="14" t="s">
        <v>15</v>
      </c>
      <c r="D315" s="15"/>
      <c r="E315" s="15">
        <v>-457.07</v>
      </c>
      <c r="F315" s="31">
        <f t="shared" si="5"/>
        <v>394.91599999999949</v>
      </c>
    </row>
    <row r="316" spans="1:6" x14ac:dyDescent="0.25">
      <c r="A316" s="30">
        <v>46006</v>
      </c>
      <c r="B316" s="13" t="str">
        <f>TEXT(Tabella3[[#This Row],[DATA]],"mmmm")&amp;" "&amp;TEXT(Tabella3[[#This Row],[DATA]],"aaaa")</f>
        <v>dicembre 2025</v>
      </c>
      <c r="C316" s="14" t="s">
        <v>15</v>
      </c>
      <c r="D316" s="15"/>
      <c r="E316" s="15">
        <f>152.36+1.2</f>
        <v>153.56</v>
      </c>
      <c r="F316" s="31">
        <f t="shared" si="5"/>
        <v>241.35599999999948</v>
      </c>
    </row>
    <row r="317" spans="1:6" x14ac:dyDescent="0.25">
      <c r="A317" s="30">
        <v>46006</v>
      </c>
      <c r="B317" s="13" t="str">
        <f>TEXT(Tabella3[[#This Row],[DATA]],"mmmm")&amp;" "&amp;TEXT(Tabella3[[#This Row],[DATA]],"aaaa")</f>
        <v>dicembre 2025</v>
      </c>
      <c r="C317" s="14" t="s">
        <v>6</v>
      </c>
      <c r="D317" s="15"/>
      <c r="E317" s="15">
        <v>2</v>
      </c>
      <c r="F317" s="31">
        <f t="shared" si="5"/>
        <v>239.35599999999948</v>
      </c>
    </row>
    <row r="318" spans="1:6" x14ac:dyDescent="0.25">
      <c r="A318" s="30">
        <v>46010</v>
      </c>
      <c r="B318" s="13" t="str">
        <f>TEXT(Tabella3[[#This Row],[DATA]],"mmmm")&amp;" "&amp;TEXT(Tabella3[[#This Row],[DATA]],"aaaa")</f>
        <v>dicembre 2025</v>
      </c>
      <c r="C318" s="14" t="s">
        <v>69</v>
      </c>
      <c r="D318" s="15">
        <v>1877</v>
      </c>
      <c r="E318" s="15"/>
      <c r="F318" s="31">
        <f t="shared" si="5"/>
        <v>2116.3559999999993</v>
      </c>
    </row>
    <row r="319" spans="1:6" x14ac:dyDescent="0.25">
      <c r="A319" s="30">
        <v>46010</v>
      </c>
      <c r="B319" s="13" t="str">
        <f>TEXT(Tabella3[[#This Row],[DATA]],"mmmm")&amp;" "&amp;TEXT(Tabella3[[#This Row],[DATA]],"aaaa")</f>
        <v>dicembre 2025</v>
      </c>
      <c r="C319" s="14" t="s">
        <v>16</v>
      </c>
      <c r="D319" s="15"/>
      <c r="E319" s="15">
        <v>49.49</v>
      </c>
      <c r="F319" s="31">
        <f t="shared" si="5"/>
        <v>2066.8659999999995</v>
      </c>
    </row>
    <row r="320" spans="1:6" x14ac:dyDescent="0.25">
      <c r="A320" s="30">
        <v>46010</v>
      </c>
      <c r="B320" s="13" t="str">
        <f>TEXT(Tabella3[[#This Row],[DATA]],"mmmm")&amp;" "&amp;TEXT(Tabella3[[#This Row],[DATA]],"aaaa")</f>
        <v>dicembre 2025</v>
      </c>
      <c r="C320" s="14" t="s">
        <v>7</v>
      </c>
      <c r="D320" s="15"/>
      <c r="E320" s="15">
        <v>26.58</v>
      </c>
      <c r="F320" s="31">
        <f t="shared" si="5"/>
        <v>2040.2859999999996</v>
      </c>
    </row>
    <row r="321" spans="1:10" x14ac:dyDescent="0.25">
      <c r="A321" s="30">
        <v>46012</v>
      </c>
      <c r="B321" s="13" t="str">
        <f>TEXT(Tabella3[[#This Row],[DATA]],"mmmm")&amp;" "&amp;TEXT(Tabella3[[#This Row],[DATA]],"aaaa")</f>
        <v>dicembre 2025</v>
      </c>
      <c r="C321" s="14" t="s">
        <v>37</v>
      </c>
      <c r="D321" s="15"/>
      <c r="E321" s="15">
        <v>51.83</v>
      </c>
      <c r="F321" s="31">
        <f t="shared" si="5"/>
        <v>1988.4559999999997</v>
      </c>
    </row>
    <row r="322" spans="1:10" x14ac:dyDescent="0.25">
      <c r="A322" s="30">
        <v>46013</v>
      </c>
      <c r="B322" s="13" t="str">
        <f>TEXT(Tabella3[[#This Row],[DATA]],"mmmm")&amp;" "&amp;TEXT(Tabella3[[#This Row],[DATA]],"aaaa")</f>
        <v>dicembre 2025</v>
      </c>
      <c r="C322" s="14" t="s">
        <v>11</v>
      </c>
      <c r="D322" s="15"/>
      <c r="E322" s="15">
        <v>500.5</v>
      </c>
      <c r="F322" s="31">
        <f t="shared" si="5"/>
        <v>1487.9559999999997</v>
      </c>
    </row>
    <row r="323" spans="1:10" x14ac:dyDescent="0.25">
      <c r="A323" s="30">
        <v>46014</v>
      </c>
      <c r="B323" s="13" t="str">
        <f>TEXT(Tabella3[[#This Row],[DATA]],"mmmm")&amp;" "&amp;TEXT(Tabella3[[#This Row],[DATA]],"aaaa")</f>
        <v>dicembre 2025</v>
      </c>
      <c r="C323" s="14" t="s">
        <v>9</v>
      </c>
      <c r="D323" s="15"/>
      <c r="E323" s="15">
        <v>80</v>
      </c>
      <c r="F323" s="31">
        <f t="shared" si="5"/>
        <v>1407.9559999999997</v>
      </c>
    </row>
    <row r="324" spans="1:10" x14ac:dyDescent="0.25">
      <c r="A324" s="30">
        <v>46015</v>
      </c>
      <c r="B324" s="13" t="str">
        <f>TEXT(Tabella3[[#This Row],[DATA]],"mmmm")&amp;" "&amp;TEXT(Tabella3[[#This Row],[DATA]],"aaaa")</f>
        <v>dicembre 2025</v>
      </c>
      <c r="C324" s="14" t="s">
        <v>14</v>
      </c>
      <c r="D324" s="15"/>
      <c r="E324" s="15">
        <v>71</v>
      </c>
      <c r="F324" s="31">
        <f t="shared" si="5"/>
        <v>1336.9559999999997</v>
      </c>
    </row>
    <row r="325" spans="1:10" x14ac:dyDescent="0.25">
      <c r="A325" s="30">
        <v>46015</v>
      </c>
      <c r="B325" s="13" t="str">
        <f>TEXT(Tabella3[[#This Row],[DATA]],"mmmm")&amp;" "&amp;TEXT(Tabella3[[#This Row],[DATA]],"aaaa")</f>
        <v>dicembre 2025</v>
      </c>
      <c r="C325" s="14" t="s">
        <v>14</v>
      </c>
      <c r="D325" s="15"/>
      <c r="E325" s="15">
        <v>12.99</v>
      </c>
      <c r="F325" s="31">
        <f t="shared" si="5"/>
        <v>1323.9659999999997</v>
      </c>
    </row>
    <row r="326" spans="1:10" x14ac:dyDescent="0.25">
      <c r="A326" s="30">
        <v>46015</v>
      </c>
      <c r="B326" s="13" t="str">
        <f>TEXT(Tabella3[[#This Row],[DATA]],"mmmm")&amp;" "&amp;TEXT(Tabella3[[#This Row],[DATA]],"aaaa")</f>
        <v>dicembre 2025</v>
      </c>
      <c r="C326" s="14" t="s">
        <v>14</v>
      </c>
      <c r="D326" s="15"/>
      <c r="E326" s="15">
        <v>9.9</v>
      </c>
      <c r="F326" s="31">
        <f t="shared" si="5"/>
        <v>1314.0659999999996</v>
      </c>
    </row>
    <row r="327" spans="1:10" x14ac:dyDescent="0.25">
      <c r="A327" s="30">
        <v>46022</v>
      </c>
      <c r="B327" s="13" t="str">
        <f>TEXT(Tabella3[[#This Row],[DATA]],"mmmm")&amp;" "&amp;TEXT(Tabella3[[#This Row],[DATA]],"aaaa")</f>
        <v>dicembre 2025</v>
      </c>
      <c r="C327" s="14" t="s">
        <v>70</v>
      </c>
      <c r="D327" s="15"/>
      <c r="E327" s="15">
        <v>548.76</v>
      </c>
      <c r="F327" s="31">
        <f t="shared" si="5"/>
        <v>765.30599999999959</v>
      </c>
    </row>
    <row r="328" spans="1:10" x14ac:dyDescent="0.25">
      <c r="A328" s="30">
        <v>46022</v>
      </c>
      <c r="B328" s="13" t="str">
        <f>TEXT(Tabella3[[#This Row],[DATA]],"mmmm")&amp;" "&amp;TEXT(Tabella3[[#This Row],[DATA]],"aaaa")</f>
        <v>dicembre 2025</v>
      </c>
      <c r="C328" s="14" t="s">
        <v>7</v>
      </c>
      <c r="D328" s="15"/>
      <c r="E328" s="15">
        <v>25.58</v>
      </c>
      <c r="F328" s="31">
        <f t="shared" si="5"/>
        <v>739.72599999999954</v>
      </c>
    </row>
    <row r="329" spans="1:10" x14ac:dyDescent="0.25">
      <c r="A329" s="30">
        <v>46022</v>
      </c>
      <c r="B329" s="13" t="str">
        <f>TEXT(Tabella3[[#This Row],[DATA]],"mmmm")&amp;" "&amp;TEXT(Tabella3[[#This Row],[DATA]],"aaaa")</f>
        <v>dicembre 2025</v>
      </c>
      <c r="C329" s="14" t="s">
        <v>18</v>
      </c>
      <c r="D329" s="15"/>
      <c r="E329" s="15">
        <v>307.01</v>
      </c>
      <c r="F329" s="31">
        <f t="shared" si="5"/>
        <v>432.71599999999955</v>
      </c>
    </row>
    <row r="330" spans="1:10" x14ac:dyDescent="0.25">
      <c r="A330" s="30">
        <v>46022</v>
      </c>
      <c r="B330" s="13" t="str">
        <f>TEXT(Tabella3[[#This Row],[DATA]],"mmmm")&amp;" "&amp;TEXT(Tabella3[[#This Row],[DATA]],"aaaa")</f>
        <v>dicembre 2025</v>
      </c>
      <c r="C330" s="14" t="s">
        <v>9</v>
      </c>
      <c r="D330" s="15"/>
      <c r="E330" s="15">
        <v>100</v>
      </c>
      <c r="F330" s="31">
        <f t="shared" si="5"/>
        <v>332.71599999999955</v>
      </c>
    </row>
    <row r="331" spans="1:10" x14ac:dyDescent="0.25">
      <c r="A331" s="30">
        <v>46022</v>
      </c>
      <c r="B331" s="13" t="str">
        <f>TEXT(Tabella3[[#This Row],[DATA]],"mmmm")&amp;" "&amp;TEXT(Tabella3[[#This Row],[DATA]],"aaaa")</f>
        <v>dicembre 2025</v>
      </c>
      <c r="C331" s="14" t="s">
        <v>71</v>
      </c>
      <c r="D331" s="15"/>
      <c r="E331" s="15">
        <v>2.6</v>
      </c>
      <c r="F331" s="31">
        <f t="shared" si="5"/>
        <v>330.11599999999953</v>
      </c>
    </row>
    <row r="332" spans="1:10" x14ac:dyDescent="0.25">
      <c r="A332" s="30">
        <v>46022</v>
      </c>
      <c r="B332" s="13" t="str">
        <f>TEXT(Tabella3[[#This Row],[DATA]],"mmmm")&amp;" "&amp;TEXT(Tabella3[[#This Row],[DATA]],"aaaa")</f>
        <v>dicembre 2025</v>
      </c>
      <c r="C332" s="14" t="s">
        <v>7</v>
      </c>
      <c r="D332" s="15"/>
      <c r="E332" s="15">
        <v>25.57</v>
      </c>
      <c r="F332" s="31">
        <f t="shared" si="5"/>
        <v>304.54599999999954</v>
      </c>
    </row>
    <row r="333" spans="1:10" x14ac:dyDescent="0.25">
      <c r="A333" s="30">
        <v>46024</v>
      </c>
      <c r="B333" s="13" t="str">
        <f>TEXT(Tabella3[[#This Row],[DATA]],"mmmm")&amp;" "&amp;TEXT(Tabella3[[#This Row],[DATA]],"aaaa")</f>
        <v>gennaio 2026</v>
      </c>
      <c r="C333" s="14" t="s">
        <v>7</v>
      </c>
      <c r="D333" s="15"/>
      <c r="E333" s="15">
        <v>30.03</v>
      </c>
      <c r="F333" s="31">
        <f t="shared" si="5"/>
        <v>274.51599999999951</v>
      </c>
      <c r="H333" s="5" t="s">
        <v>72</v>
      </c>
      <c r="I333" t="s">
        <v>73</v>
      </c>
      <c r="J333" t="s">
        <v>74</v>
      </c>
    </row>
    <row r="334" spans="1:10" x14ac:dyDescent="0.25">
      <c r="A334" s="30">
        <v>46025</v>
      </c>
      <c r="B334" s="13" t="str">
        <f>TEXT(Tabella3[[#This Row],[DATA]],"mmmm")&amp;" "&amp;TEXT(Tabella3[[#This Row],[DATA]],"aaaa")</f>
        <v>gennaio 2026</v>
      </c>
      <c r="C334" s="14" t="s">
        <v>37</v>
      </c>
      <c r="D334" s="15"/>
      <c r="E334" s="15">
        <v>76.77</v>
      </c>
      <c r="F334" s="31">
        <f t="shared" si="5"/>
        <v>197.74599999999953</v>
      </c>
      <c r="H334" s="6" t="s">
        <v>75</v>
      </c>
      <c r="I334" s="3">
        <v>2984.7200000000003</v>
      </c>
      <c r="J334" s="3">
        <v>2342.0700000000002</v>
      </c>
    </row>
    <row r="335" spans="1:10" x14ac:dyDescent="0.25">
      <c r="A335" s="30">
        <v>46038</v>
      </c>
      <c r="B335" s="13" t="str">
        <f>TEXT(Tabella3[[#This Row],[DATA]],"mmmm")&amp;" "&amp;TEXT(Tabella3[[#This Row],[DATA]],"aaaa")</f>
        <v>gennaio 2026</v>
      </c>
      <c r="C335" s="14" t="s">
        <v>15</v>
      </c>
      <c r="D335" s="15"/>
      <c r="E335" s="15">
        <f>152.36+1.2</f>
        <v>153.56</v>
      </c>
      <c r="F335" s="31">
        <f t="shared" si="5"/>
        <v>44.185999999999524</v>
      </c>
      <c r="H335" s="6" t="s">
        <v>76</v>
      </c>
      <c r="I335" s="3">
        <v>1892</v>
      </c>
      <c r="J335" s="3">
        <v>1857.9800000000002</v>
      </c>
    </row>
    <row r="336" spans="1:10" x14ac:dyDescent="0.25">
      <c r="A336" s="32">
        <v>46038</v>
      </c>
      <c r="B336" s="17" t="str">
        <f>TEXT(Tabella3[[#This Row],[DATA]],"mmmm")&amp;" "&amp;TEXT(Tabella3[[#This Row],[DATA]],"aaaa")</f>
        <v>gennaio 2026</v>
      </c>
      <c r="C336" s="18" t="s">
        <v>15</v>
      </c>
      <c r="D336" s="35"/>
      <c r="E336" s="35">
        <f>140.3+1.2</f>
        <v>141.5</v>
      </c>
      <c r="F336" s="31">
        <f t="shared" si="5"/>
        <v>-97.314000000000476</v>
      </c>
      <c r="H336" s="6" t="s">
        <v>77</v>
      </c>
      <c r="I336" s="3">
        <v>1795</v>
      </c>
      <c r="J336" s="3">
        <v>1644.11</v>
      </c>
    </row>
    <row r="337" spans="1:10" x14ac:dyDescent="0.25">
      <c r="A337" s="32">
        <v>46038</v>
      </c>
      <c r="B337" s="17" t="str">
        <f>TEXT(Tabella3[[#This Row],[DATA]],"mmmm")&amp;" "&amp;TEXT(Tabella3[[#This Row],[DATA]],"aaaa")</f>
        <v>gennaio 2026</v>
      </c>
      <c r="C337" s="18" t="s">
        <v>56</v>
      </c>
      <c r="D337" s="19"/>
      <c r="E337" s="19">
        <v>39.83</v>
      </c>
      <c r="F337" s="31">
        <f t="shared" si="5"/>
        <v>-137.14400000000046</v>
      </c>
      <c r="H337" s="6" t="s">
        <v>78</v>
      </c>
      <c r="I337" s="3">
        <v>1894.02</v>
      </c>
      <c r="J337" s="3">
        <v>2074.27</v>
      </c>
    </row>
    <row r="338" spans="1:10" x14ac:dyDescent="0.25">
      <c r="A338" s="32">
        <v>46038</v>
      </c>
      <c r="B338" s="17" t="str">
        <f>TEXT(Tabella3[[#This Row],[DATA]],"mmmm")&amp;" "&amp;TEXT(Tabella3[[#This Row],[DATA]],"aaaa")</f>
        <v>gennaio 2026</v>
      </c>
      <c r="C338" s="18" t="s">
        <v>62</v>
      </c>
      <c r="D338" s="19"/>
      <c r="E338" s="19">
        <v>31.63</v>
      </c>
      <c r="F338" s="31">
        <f t="shared" si="5"/>
        <v>-168.77400000000046</v>
      </c>
      <c r="H338" s="6" t="s">
        <v>79</v>
      </c>
      <c r="I338" s="3">
        <v>1981</v>
      </c>
      <c r="J338" s="3">
        <v>2151.9699999999998</v>
      </c>
    </row>
    <row r="339" spans="1:10" x14ac:dyDescent="0.25">
      <c r="A339" s="32">
        <v>46038</v>
      </c>
      <c r="B339" s="17" t="str">
        <f>TEXT(Tabella3[[#This Row],[DATA]],"mmmm")&amp;" "&amp;TEXT(Tabella3[[#This Row],[DATA]],"aaaa")</f>
        <v>gennaio 2026</v>
      </c>
      <c r="C339" s="18" t="s">
        <v>15</v>
      </c>
      <c r="D339" s="19"/>
      <c r="E339" s="19">
        <f>83.39+4.6</f>
        <v>87.99</v>
      </c>
      <c r="F339" s="31">
        <f t="shared" si="5"/>
        <v>-256.76400000000046</v>
      </c>
      <c r="H339" s="6" t="s">
        <v>80</v>
      </c>
      <c r="I339" s="3">
        <v>1817</v>
      </c>
      <c r="J339" s="3">
        <v>2150.3200000000006</v>
      </c>
    </row>
    <row r="340" spans="1:10" x14ac:dyDescent="0.25">
      <c r="A340" s="32">
        <v>46038</v>
      </c>
      <c r="B340" s="17" t="str">
        <f>TEXT(Tabella3[[#This Row],[DATA]],"mmmm")&amp;" "&amp;TEXT(Tabella3[[#This Row],[DATA]],"aaaa")</f>
        <v>gennaio 2026</v>
      </c>
      <c r="C340" s="18" t="s">
        <v>28</v>
      </c>
      <c r="D340" s="19"/>
      <c r="E340" s="19">
        <v>43.95</v>
      </c>
      <c r="F340" s="31">
        <f t="shared" si="5"/>
        <v>-300.71400000000045</v>
      </c>
      <c r="H340" s="6" t="s">
        <v>81</v>
      </c>
      <c r="I340" s="3">
        <v>2735</v>
      </c>
      <c r="J340" s="3">
        <v>2692.5700000000006</v>
      </c>
    </row>
    <row r="341" spans="1:10" x14ac:dyDescent="0.25">
      <c r="A341" s="32">
        <v>46038</v>
      </c>
      <c r="B341" s="17" t="str">
        <f>TEXT(Tabella3[[#This Row],[DATA]],"mmmm")&amp;" "&amp;TEXT(Tabella3[[#This Row],[DATA]],"aaaa")</f>
        <v>gennaio 2026</v>
      </c>
      <c r="C341" s="18" t="s">
        <v>9</v>
      </c>
      <c r="D341" s="19"/>
      <c r="E341" s="19">
        <v>100</v>
      </c>
      <c r="F341" s="31">
        <f t="shared" si="5"/>
        <v>-400.71400000000045</v>
      </c>
      <c r="H341" s="6" t="s">
        <v>82</v>
      </c>
      <c r="I341" s="3">
        <v>1816</v>
      </c>
      <c r="J341" s="3">
        <v>1933.0839999999998</v>
      </c>
    </row>
    <row r="342" spans="1:10" x14ac:dyDescent="0.25">
      <c r="A342" s="32">
        <v>46038</v>
      </c>
      <c r="B342" s="17" t="str">
        <f>TEXT(Tabella3[[#This Row],[DATA]],"mmmm")&amp;" "&amp;TEXT(Tabella3[[#This Row],[DATA]],"aaaa")</f>
        <v>gennaio 2026</v>
      </c>
      <c r="C342" s="18" t="s">
        <v>83</v>
      </c>
      <c r="D342" s="19"/>
      <c r="E342" s="19">
        <v>21.85</v>
      </c>
      <c r="F342" s="31">
        <f t="shared" si="5"/>
        <v>-422.56400000000048</v>
      </c>
      <c r="H342" s="6" t="s">
        <v>84</v>
      </c>
      <c r="I342" s="3">
        <v>1891</v>
      </c>
      <c r="J342" s="3">
        <v>1699.6599999999999</v>
      </c>
    </row>
    <row r="343" spans="1:10" x14ac:dyDescent="0.25">
      <c r="A343" s="32">
        <v>46038</v>
      </c>
      <c r="B343" s="17" t="str">
        <f>TEXT(Tabella3[[#This Row],[DATA]],"mmmm")&amp;" "&amp;TEXT(Tabella3[[#This Row],[DATA]],"aaaa")</f>
        <v>gennaio 2026</v>
      </c>
      <c r="C343" s="18" t="s">
        <v>16</v>
      </c>
      <c r="D343" s="19"/>
      <c r="E343" s="19">
        <v>20.93</v>
      </c>
      <c r="F343" s="31">
        <f t="shared" si="5"/>
        <v>-443.49400000000048</v>
      </c>
      <c r="H343" s="6" t="s">
        <v>85</v>
      </c>
      <c r="I343" s="3">
        <v>1808</v>
      </c>
      <c r="J343" s="3">
        <v>1952.9499999999996</v>
      </c>
    </row>
    <row r="344" spans="1:10" x14ac:dyDescent="0.25">
      <c r="A344" s="32">
        <v>46038</v>
      </c>
      <c r="B344" s="17" t="str">
        <f>TEXT(Tabella3[[#This Row],[DATA]],"mmmm")&amp;" "&amp;TEXT(Tabella3[[#This Row],[DATA]],"aaaa")</f>
        <v>gennaio 2026</v>
      </c>
      <c r="C344" s="18" t="s">
        <v>86</v>
      </c>
      <c r="D344" s="19"/>
      <c r="E344" s="19">
        <v>231</v>
      </c>
      <c r="F344" s="31">
        <f t="shared" si="5"/>
        <v>-674.49400000000048</v>
      </c>
      <c r="H344" s="6" t="s">
        <v>87</v>
      </c>
      <c r="I344" s="3">
        <v>1815</v>
      </c>
      <c r="J344" s="3">
        <v>1928.8500000000001</v>
      </c>
    </row>
    <row r="345" spans="1:10" x14ac:dyDescent="0.25">
      <c r="A345" s="32">
        <v>46038</v>
      </c>
      <c r="B345" s="17" t="str">
        <f>TEXT(Tabella3[[#This Row],[DATA]],"mmmm")&amp;" "&amp;TEXT(Tabella3[[#This Row],[DATA]],"aaaa")</f>
        <v>gennaio 2026</v>
      </c>
      <c r="C345" s="18" t="s">
        <v>14</v>
      </c>
      <c r="D345" s="19"/>
      <c r="E345" s="19">
        <v>68.849999999999994</v>
      </c>
      <c r="F345" s="31">
        <f t="shared" si="5"/>
        <v>-743.34400000000051</v>
      </c>
      <c r="H345" s="6" t="s">
        <v>88</v>
      </c>
      <c r="I345" s="3">
        <v>3902</v>
      </c>
      <c r="J345" s="3">
        <v>3598.3599999999997</v>
      </c>
    </row>
    <row r="346" spans="1:10" x14ac:dyDescent="0.25">
      <c r="A346" s="32">
        <v>46043</v>
      </c>
      <c r="B346" s="17" t="str">
        <f>TEXT(Tabella3[[#This Row],[DATA]],"mmmm")&amp;" "&amp;TEXT(Tabella3[[#This Row],[DATA]],"aaaa")</f>
        <v>gennaio 2026</v>
      </c>
      <c r="C346" s="18" t="s">
        <v>37</v>
      </c>
      <c r="D346" s="19"/>
      <c r="E346" s="19">
        <v>51.83</v>
      </c>
      <c r="F346" s="31">
        <f t="shared" si="5"/>
        <v>-795.17400000000055</v>
      </c>
      <c r="H346" s="6" t="s">
        <v>89</v>
      </c>
      <c r="I346" s="3">
        <v>26330.739999999998</v>
      </c>
      <c r="J346" s="3">
        <v>26026.194</v>
      </c>
    </row>
    <row r="347" spans="1:10" x14ac:dyDescent="0.25">
      <c r="A347" s="30">
        <v>46056</v>
      </c>
      <c r="B347" s="13" t="str">
        <f>TEXT(Tabella3[[#This Row],[DATA]],"mmmm")&amp;" "&amp;TEXT(Tabella3[[#This Row],[DATA]],"aaaa")</f>
        <v>febbraio 2026</v>
      </c>
      <c r="C347" s="14" t="s">
        <v>37</v>
      </c>
      <c r="D347" s="15"/>
      <c r="E347" s="15">
        <v>76.77</v>
      </c>
      <c r="F347" s="31">
        <f t="shared" si="5"/>
        <v>-871.94400000000053</v>
      </c>
    </row>
    <row r="348" spans="1:10" x14ac:dyDescent="0.25">
      <c r="A348" s="30">
        <v>46069</v>
      </c>
      <c r="B348" s="13" t="str">
        <f>TEXT(Tabella3[[#This Row],[DATA]],"mmmm")&amp;" "&amp;TEXT(Tabella3[[#This Row],[DATA]],"aaaa")</f>
        <v>febbraio 2026</v>
      </c>
      <c r="C348" s="14" t="s">
        <v>15</v>
      </c>
      <c r="D348" s="15"/>
      <c r="E348" s="15">
        <f>152.36+1.2</f>
        <v>153.56</v>
      </c>
      <c r="F348" s="31">
        <f t="shared" si="5"/>
        <v>-1025.5040000000006</v>
      </c>
      <c r="J348" s="33">
        <f>GETPIVOTDATA("Somma di ENTRATE",$H$333)-GETPIVOTDATA("Somma di USCITE",$H$333)</f>
        <v>304.54599999999846</v>
      </c>
    </row>
    <row r="349" spans="1:10" x14ac:dyDescent="0.25">
      <c r="A349" s="30">
        <v>46069</v>
      </c>
      <c r="B349" s="13" t="str">
        <f>TEXT(Tabella3[[#This Row],[DATA]],"mmmm")&amp;" "&amp;TEXT(Tabella3[[#This Row],[DATA]],"aaaa")</f>
        <v>febbraio 2026</v>
      </c>
      <c r="C349" s="14" t="s">
        <v>62</v>
      </c>
      <c r="D349" s="15"/>
      <c r="E349" s="15">
        <v>31.63</v>
      </c>
      <c r="F349" s="31">
        <f t="shared" si="5"/>
        <v>-1057.1340000000007</v>
      </c>
    </row>
    <row r="350" spans="1:10" x14ac:dyDescent="0.25">
      <c r="A350" s="30">
        <v>46069</v>
      </c>
      <c r="B350" s="13" t="str">
        <f>TEXT(Tabella3[[#This Row],[DATA]],"mmmm")&amp;" "&amp;TEXT(Tabella3[[#This Row],[DATA]],"aaaa")</f>
        <v>febbraio 2026</v>
      </c>
      <c r="C350" s="14" t="s">
        <v>15</v>
      </c>
      <c r="D350" s="15"/>
      <c r="E350" s="15">
        <f>83.39+4.6</f>
        <v>87.99</v>
      </c>
      <c r="F350" s="31">
        <f t="shared" si="5"/>
        <v>-1145.1240000000007</v>
      </c>
    </row>
    <row r="351" spans="1:10" x14ac:dyDescent="0.25">
      <c r="A351" s="30">
        <v>46074</v>
      </c>
      <c r="B351" s="13" t="str">
        <f>TEXT(Tabella3[[#This Row],[DATA]],"mmmm")&amp;" "&amp;TEXT(Tabella3[[#This Row],[DATA]],"aaaa")</f>
        <v>febbraio 2026</v>
      </c>
      <c r="C351" s="14" t="s">
        <v>37</v>
      </c>
      <c r="D351" s="15"/>
      <c r="E351" s="15">
        <v>51.83</v>
      </c>
      <c r="F351" s="31">
        <f t="shared" si="5"/>
        <v>-1196.9540000000006</v>
      </c>
    </row>
    <row r="352" spans="1:10" x14ac:dyDescent="0.25">
      <c r="A352" s="30">
        <v>46084</v>
      </c>
      <c r="B352" s="13" t="str">
        <f>TEXT(Tabella3[[#This Row],[DATA]],"mmmm")&amp;" "&amp;TEXT(Tabella3[[#This Row],[DATA]],"aaaa")</f>
        <v>marzo 2026</v>
      </c>
      <c r="C352" s="14" t="s">
        <v>37</v>
      </c>
      <c r="D352" s="15"/>
      <c r="E352" s="15">
        <v>76.77</v>
      </c>
      <c r="F352" s="31">
        <f t="shared" ref="F352:F370" si="6">F351-E352+D352</f>
        <v>-1273.7240000000006</v>
      </c>
    </row>
    <row r="353" spans="1:6" x14ac:dyDescent="0.25">
      <c r="A353" s="30">
        <v>46097</v>
      </c>
      <c r="B353" s="13" t="str">
        <f>TEXT(Tabella3[[#This Row],[DATA]],"mmmm")&amp;" "&amp;TEXT(Tabella3[[#This Row],[DATA]],"aaaa")</f>
        <v>marzo 2026</v>
      </c>
      <c r="C353" s="14" t="s">
        <v>62</v>
      </c>
      <c r="D353" s="15"/>
      <c r="E353" s="15">
        <v>31.63</v>
      </c>
      <c r="F353" s="31">
        <f t="shared" si="6"/>
        <v>-1305.3540000000007</v>
      </c>
    </row>
    <row r="354" spans="1:6" x14ac:dyDescent="0.25">
      <c r="A354" s="30">
        <v>46102</v>
      </c>
      <c r="B354" s="13" t="str">
        <f>TEXT(Tabella3[[#This Row],[DATA]],"mmmm")&amp;" "&amp;TEXT(Tabella3[[#This Row],[DATA]],"aaaa")</f>
        <v>marzo 2026</v>
      </c>
      <c r="C354" s="14" t="s">
        <v>37</v>
      </c>
      <c r="D354" s="15"/>
      <c r="E354" s="15">
        <v>51.83</v>
      </c>
      <c r="F354" s="31">
        <f t="shared" si="6"/>
        <v>-1357.1840000000007</v>
      </c>
    </row>
    <row r="355" spans="1:6" x14ac:dyDescent="0.25">
      <c r="A355" s="30">
        <v>46115</v>
      </c>
      <c r="B355" s="13" t="str">
        <f>TEXT(Tabella3[[#This Row],[DATA]],"mmmm")&amp;" "&amp;TEXT(Tabella3[[#This Row],[DATA]],"aaaa")</f>
        <v>aprile 2026</v>
      </c>
      <c r="C355" s="14" t="s">
        <v>37</v>
      </c>
      <c r="D355" s="15"/>
      <c r="E355" s="15">
        <v>76.77</v>
      </c>
      <c r="F355" s="31">
        <f t="shared" si="6"/>
        <v>-1433.9540000000006</v>
      </c>
    </row>
    <row r="356" spans="1:6" x14ac:dyDescent="0.25">
      <c r="A356" s="30">
        <v>46128</v>
      </c>
      <c r="B356" s="13" t="str">
        <f>TEXT(Tabella3[[#This Row],[DATA]],"mmmm")&amp;" "&amp;TEXT(Tabella3[[#This Row],[DATA]],"aaaa")</f>
        <v>aprile 2026</v>
      </c>
      <c r="C356" s="14" t="s">
        <v>62</v>
      </c>
      <c r="D356" s="15"/>
      <c r="E356" s="15">
        <v>31.63</v>
      </c>
      <c r="F356" s="31">
        <f t="shared" si="6"/>
        <v>-1465.5840000000007</v>
      </c>
    </row>
    <row r="357" spans="1:6" x14ac:dyDescent="0.25">
      <c r="A357" s="30">
        <v>46133</v>
      </c>
      <c r="B357" s="13" t="str">
        <f>TEXT(Tabella3[[#This Row],[DATA]],"mmmm")&amp;" "&amp;TEXT(Tabella3[[#This Row],[DATA]],"aaaa")</f>
        <v>aprile 2026</v>
      </c>
      <c r="C357" s="14" t="s">
        <v>37</v>
      </c>
      <c r="D357" s="15"/>
      <c r="E357" s="15">
        <v>51.84</v>
      </c>
      <c r="F357" s="31">
        <f t="shared" si="6"/>
        <v>-1517.4240000000007</v>
      </c>
    </row>
    <row r="358" spans="1:6" x14ac:dyDescent="0.25">
      <c r="A358" s="30">
        <v>46145</v>
      </c>
      <c r="B358" s="13" t="str">
        <f>TEXT(Tabella3[[#This Row],[DATA]],"mmmm")&amp;" "&amp;TEXT(Tabella3[[#This Row],[DATA]],"aaaa")</f>
        <v>maggio 2026</v>
      </c>
      <c r="C358" s="14" t="s">
        <v>37</v>
      </c>
      <c r="D358" s="15"/>
      <c r="E358" s="15">
        <v>76.77</v>
      </c>
      <c r="F358" s="31">
        <f t="shared" si="6"/>
        <v>-1594.1940000000006</v>
      </c>
    </row>
    <row r="359" spans="1:6" x14ac:dyDescent="0.25">
      <c r="A359" s="30">
        <v>46158</v>
      </c>
      <c r="B359" s="13" t="str">
        <f>TEXT(Tabella3[[#This Row],[DATA]],"mmmm")&amp;" "&amp;TEXT(Tabella3[[#This Row],[DATA]],"aaaa")</f>
        <v>maggio 2026</v>
      </c>
      <c r="C359" s="14" t="s">
        <v>62</v>
      </c>
      <c r="D359" s="15"/>
      <c r="E359" s="15">
        <v>31.63</v>
      </c>
      <c r="F359" s="31">
        <f t="shared" si="6"/>
        <v>-1625.8240000000008</v>
      </c>
    </row>
    <row r="360" spans="1:6" x14ac:dyDescent="0.25">
      <c r="A360" s="32">
        <v>46176</v>
      </c>
      <c r="B360" s="17" t="str">
        <f>TEXT(Tabella3[[#This Row],[DATA]],"mmmm")&amp;" "&amp;TEXT(Tabella3[[#This Row],[DATA]],"aaaa")</f>
        <v>giugno 2026</v>
      </c>
      <c r="C360" s="18" t="s">
        <v>37</v>
      </c>
      <c r="D360" s="19"/>
      <c r="E360" s="19">
        <v>76.77</v>
      </c>
      <c r="F360" s="31">
        <f t="shared" si="6"/>
        <v>-1702.5940000000007</v>
      </c>
    </row>
    <row r="361" spans="1:6" x14ac:dyDescent="0.25">
      <c r="A361" s="32">
        <v>46189</v>
      </c>
      <c r="B361" s="17" t="str">
        <f>TEXT(Tabella3[[#This Row],[DATA]],"mmmm")&amp;" "&amp;TEXT(Tabella3[[#This Row],[DATA]],"aaaa")</f>
        <v>giugno 2026</v>
      </c>
      <c r="C361" s="18" t="s">
        <v>62</v>
      </c>
      <c r="D361" s="19"/>
      <c r="E361" s="19">
        <v>31.63</v>
      </c>
      <c r="F361" s="31">
        <f t="shared" si="6"/>
        <v>-1734.2240000000008</v>
      </c>
    </row>
    <row r="362" spans="1:6" x14ac:dyDescent="0.25">
      <c r="A362" s="32">
        <v>46206</v>
      </c>
      <c r="B362" s="17" t="str">
        <f>TEXT(Tabella3[[#This Row],[DATA]],"mmmm")&amp;" "&amp;TEXT(Tabella3[[#This Row],[DATA]],"aaaa")</f>
        <v>luglio 2026</v>
      </c>
      <c r="C362" s="18" t="s">
        <v>37</v>
      </c>
      <c r="D362" s="19"/>
      <c r="E362" s="15">
        <v>76.77</v>
      </c>
      <c r="F362" s="31">
        <f t="shared" si="6"/>
        <v>-1810.9940000000008</v>
      </c>
    </row>
    <row r="363" spans="1:6" x14ac:dyDescent="0.25">
      <c r="A363" s="32">
        <v>46219</v>
      </c>
      <c r="B363" s="17" t="str">
        <f>TEXT(Tabella3[[#This Row],[DATA]],"mmmm")&amp;" "&amp;TEXT(Tabella3[[#This Row],[DATA]],"aaaa")</f>
        <v>luglio 2026</v>
      </c>
      <c r="C363" s="18" t="s">
        <v>62</v>
      </c>
      <c r="D363" s="19"/>
      <c r="E363" s="15">
        <v>31.63</v>
      </c>
      <c r="F363" s="31">
        <f t="shared" si="6"/>
        <v>-1842.6240000000009</v>
      </c>
    </row>
    <row r="364" spans="1:6" x14ac:dyDescent="0.25">
      <c r="A364" s="32">
        <v>46237</v>
      </c>
      <c r="B364" s="17" t="str">
        <f>TEXT(Tabella3[[#This Row],[DATA]],"mmmm")&amp;" "&amp;TEXT(Tabella3[[#This Row],[DATA]],"aaaa")</f>
        <v>agosto 2026</v>
      </c>
      <c r="C364" s="18" t="s">
        <v>37</v>
      </c>
      <c r="D364" s="19"/>
      <c r="E364" s="15">
        <v>76.77</v>
      </c>
      <c r="F364" s="31">
        <f t="shared" si="6"/>
        <v>-1919.3940000000009</v>
      </c>
    </row>
    <row r="365" spans="1:6" x14ac:dyDescent="0.25">
      <c r="A365" s="32">
        <v>46250</v>
      </c>
      <c r="B365" s="17" t="str">
        <f>TEXT(Tabella3[[#This Row],[DATA]],"mmmm")&amp;" "&amp;TEXT(Tabella3[[#This Row],[DATA]],"aaaa")</f>
        <v>agosto 2026</v>
      </c>
      <c r="C365" s="18" t="s">
        <v>62</v>
      </c>
      <c r="D365" s="19"/>
      <c r="E365" s="19">
        <v>31.63</v>
      </c>
      <c r="F365" s="31">
        <f t="shared" si="6"/>
        <v>-1951.024000000001</v>
      </c>
    </row>
    <row r="366" spans="1:6" x14ac:dyDescent="0.25">
      <c r="A366" s="32">
        <v>46268</v>
      </c>
      <c r="B366" s="17" t="str">
        <f>TEXT(Tabella3[[#This Row],[DATA]],"mmmm")&amp;" "&amp;TEXT(Tabella3[[#This Row],[DATA]],"aaaa")</f>
        <v>settembre 2026</v>
      </c>
      <c r="C366" s="18" t="s">
        <v>37</v>
      </c>
      <c r="D366" s="19"/>
      <c r="E366" s="19">
        <v>76.77</v>
      </c>
      <c r="F366" s="31">
        <f t="shared" si="6"/>
        <v>-2027.794000000001</v>
      </c>
    </row>
    <row r="367" spans="1:6" x14ac:dyDescent="0.25">
      <c r="A367" s="32">
        <v>46281</v>
      </c>
      <c r="B367" s="17" t="str">
        <f>TEXT(Tabella3[[#This Row],[DATA]],"mmmm")&amp;" "&amp;TEXT(Tabella3[[#This Row],[DATA]],"aaaa")</f>
        <v>settembre 2026</v>
      </c>
      <c r="C367" s="18" t="s">
        <v>62</v>
      </c>
      <c r="D367" s="19"/>
      <c r="E367" s="19">
        <v>31.63</v>
      </c>
      <c r="F367" s="31">
        <f t="shared" si="6"/>
        <v>-2059.4240000000009</v>
      </c>
    </row>
    <row r="368" spans="1:6" x14ac:dyDescent="0.25">
      <c r="A368" s="32">
        <v>46298</v>
      </c>
      <c r="B368" s="17" t="str">
        <f>TEXT(Tabella3[[#This Row],[DATA]],"mmmm")&amp;" "&amp;TEXT(Tabella3[[#This Row],[DATA]],"aaaa")</f>
        <v>ottobre 2026</v>
      </c>
      <c r="C368" s="18" t="s">
        <v>37</v>
      </c>
      <c r="D368" s="19"/>
      <c r="E368" s="15">
        <v>76.77</v>
      </c>
      <c r="F368" s="31">
        <f t="shared" si="6"/>
        <v>-2136.1940000000009</v>
      </c>
    </row>
    <row r="369" spans="1:6" x14ac:dyDescent="0.25">
      <c r="A369" s="32">
        <v>46311</v>
      </c>
      <c r="B369" s="17" t="str">
        <f>TEXT(Tabella3[[#This Row],[DATA]],"mmmm")&amp;" "&amp;TEXT(Tabella3[[#This Row],[DATA]],"aaaa")</f>
        <v>ottobre 2026</v>
      </c>
      <c r="C369" s="18" t="s">
        <v>62</v>
      </c>
      <c r="D369" s="19"/>
      <c r="E369" s="19">
        <v>31.63</v>
      </c>
      <c r="F369" s="31">
        <f t="shared" si="6"/>
        <v>-2167.824000000001</v>
      </c>
    </row>
    <row r="370" spans="1:6" x14ac:dyDescent="0.25">
      <c r="A370" s="32">
        <v>46329</v>
      </c>
      <c r="B370" s="17" t="str">
        <f>TEXT(Tabella3[[#This Row],[DATA]],"mmmm")&amp;" "&amp;TEXT(Tabella3[[#This Row],[DATA]],"aaaa")</f>
        <v>novembre 2026</v>
      </c>
      <c r="C370" s="18" t="s">
        <v>37</v>
      </c>
      <c r="D370" s="19"/>
      <c r="E370" s="19">
        <v>76.8</v>
      </c>
      <c r="F370" s="31">
        <f t="shared" si="6"/>
        <v>-2244.6240000000012</v>
      </c>
    </row>
    <row r="371" spans="1:6" x14ac:dyDescent="0.25">
      <c r="A371" s="28" t="s">
        <v>90</v>
      </c>
      <c r="B371" s="18"/>
      <c r="C371" s="18"/>
      <c r="D371" s="29">
        <f>SUBTOTAL(109,Tabella3[ENTRATE])</f>
        <v>26330.74</v>
      </c>
      <c r="E371" s="29">
        <f>SUBTOTAL(109,Tabella3[USCITE])</f>
        <v>28575.364000000034</v>
      </c>
      <c r="F371" s="29">
        <f>Tabella3[[#Totals],[ENTRATE]]-Tabella3[[#Totals],[USCITE]]</f>
        <v>-2244.6240000000325</v>
      </c>
    </row>
  </sheetData>
  <conditionalFormatting sqref="A2 C2:F2 A3:F370">
    <cfRule type="expression" dxfId="77" priority="7">
      <formula>$A2&lt;TODAY()</formula>
    </cfRule>
    <cfRule type="expression" dxfId="76" priority="8">
      <formula>$A2=TODAY()</formula>
    </cfRule>
  </conditionalFormatting>
  <conditionalFormatting sqref="B2">
    <cfRule type="expression" dxfId="75" priority="5">
      <formula>$A2&lt;TODAY()</formula>
    </cfRule>
    <cfRule type="expression" dxfId="74" priority="6">
      <formula>$A2=TODAY()</formula>
    </cfRule>
  </conditionalFormatting>
  <conditionalFormatting pivot="1" sqref="J334:J345">
    <cfRule type="expression" dxfId="73" priority="2">
      <formula>$J334&lt;$I334</formula>
    </cfRule>
  </conditionalFormatting>
  <conditionalFormatting pivot="1" sqref="J334:J345">
    <cfRule type="expression" dxfId="72" priority="1">
      <formula>$J334&gt;$I334</formula>
    </cfRule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2D89-AAAF-4233-84CA-89116215F10D}">
  <dimension ref="A1:J292"/>
  <sheetViews>
    <sheetView zoomScale="115" zoomScaleNormal="115" workbookViewId="0">
      <selection activeCell="D7" sqref="D7"/>
    </sheetView>
  </sheetViews>
  <sheetFormatPr defaultRowHeight="15" x14ac:dyDescent="0.25"/>
  <cols>
    <col min="1" max="1" width="27.42578125" bestFit="1" customWidth="1"/>
    <col min="2" max="2" width="24" bestFit="1" customWidth="1"/>
    <col min="3" max="3" width="18.7109375" bestFit="1" customWidth="1"/>
    <col min="4" max="4" width="13.5703125" bestFit="1" customWidth="1"/>
    <col min="5" max="5" width="13" bestFit="1" customWidth="1"/>
    <col min="6" max="6" width="14.140625" customWidth="1"/>
    <col min="8" max="8" width="18" bestFit="1" customWidth="1"/>
    <col min="9" max="9" width="18.28515625" bestFit="1" customWidth="1"/>
    <col min="10" max="10" width="16.42578125" bestFit="1" customWidth="1"/>
  </cols>
  <sheetData>
    <row r="1" spans="1:6" x14ac:dyDescent="0.25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6" x14ac:dyDescent="0.25">
      <c r="A2" s="12">
        <v>45292</v>
      </c>
      <c r="B2" s="13" t="str">
        <f>TEXT(Budget233[[#This Row],[DATA]],"mmmm")&amp;" "&amp;TEXT(Budget233[[#This Row],[DATA]],"aaaa")</f>
        <v>gennaio 2024</v>
      </c>
      <c r="C2" s="14" t="s">
        <v>5</v>
      </c>
      <c r="D2" s="15">
        <v>676.19</v>
      </c>
      <c r="E2" s="15"/>
      <c r="F2" s="15">
        <f>Budget233[[#This Row],[ENTRATE]]</f>
        <v>676.19</v>
      </c>
    </row>
    <row r="3" spans="1:6" x14ac:dyDescent="0.25">
      <c r="A3" s="12">
        <v>45293</v>
      </c>
      <c r="B3" s="13" t="str">
        <f>TEXT(Budget233[[#This Row],[DATA]],"mmmm")&amp;" "&amp;TEXT(Budget233[[#This Row],[DATA]],"aaaa")</f>
        <v>gennaio 2024</v>
      </c>
      <c r="C3" s="17" t="s">
        <v>6</v>
      </c>
      <c r="D3" s="19"/>
      <c r="E3" s="19">
        <v>2.7</v>
      </c>
      <c r="F3" s="15">
        <f>F2+Budget233[[#This Row],[ENTRATE]]-Budget233[[#This Row],[USCITE]]</f>
        <v>673.49</v>
      </c>
    </row>
    <row r="4" spans="1:6" x14ac:dyDescent="0.25">
      <c r="A4" s="12">
        <v>45293</v>
      </c>
      <c r="B4" s="13" t="str">
        <f>TEXT(Budget233[[#This Row],[DATA]],"mmmm")&amp;" "&amp;TEXT(Budget233[[#This Row],[DATA]],"aaaa")</f>
        <v>gennaio 2024</v>
      </c>
      <c r="C4" s="17" t="s">
        <v>6</v>
      </c>
      <c r="D4" s="19"/>
      <c r="E4" s="19">
        <v>4.04</v>
      </c>
      <c r="F4" s="15">
        <f>F3+Budget233[[#This Row],[ENTRATE]]-Budget233[[#This Row],[USCITE]]</f>
        <v>669.45</v>
      </c>
    </row>
    <row r="5" spans="1:6" x14ac:dyDescent="0.25">
      <c r="A5" s="12">
        <v>45299</v>
      </c>
      <c r="B5" s="13" t="str">
        <f>TEXT(Budget233[[#This Row],[DATA]],"mmmm")&amp;" "&amp;TEXT(Budget233[[#This Row],[DATA]],"aaaa")</f>
        <v>gennaio 2024</v>
      </c>
      <c r="C5" s="17" t="s">
        <v>8</v>
      </c>
      <c r="D5" s="19"/>
      <c r="E5" s="19">
        <v>44.87</v>
      </c>
      <c r="F5" s="15">
        <f>F4+Budget233[[#This Row],[ENTRATE]]-Budget233[[#This Row],[USCITE]]</f>
        <v>624.58000000000004</v>
      </c>
    </row>
    <row r="6" spans="1:6" x14ac:dyDescent="0.25">
      <c r="A6" s="12">
        <v>45299</v>
      </c>
      <c r="B6" s="13" t="str">
        <f>TEXT(Budget233[[#This Row],[DATA]],"mmmm")&amp;" "&amp;TEXT(Budget233[[#This Row],[DATA]],"aaaa")</f>
        <v>gennaio 2024</v>
      </c>
      <c r="C6" s="17" t="s">
        <v>9</v>
      </c>
      <c r="D6" s="19"/>
      <c r="E6" s="19">
        <v>150</v>
      </c>
      <c r="F6" s="15">
        <f>F5+Budget233[[#This Row],[ENTRATE]]-Budget233[[#This Row],[USCITE]]</f>
        <v>474.58000000000004</v>
      </c>
    </row>
    <row r="7" spans="1:6" x14ac:dyDescent="0.25">
      <c r="A7" s="12">
        <v>45301</v>
      </c>
      <c r="B7" s="13" t="str">
        <f>TEXT(Budget233[[#This Row],[DATA]],"mmmm")&amp;" "&amp;TEXT(Budget233[[#This Row],[DATA]],"aaaa")</f>
        <v>gennaio 2024</v>
      </c>
      <c r="C7" s="14" t="s">
        <v>10</v>
      </c>
      <c r="D7" s="15">
        <v>1656</v>
      </c>
      <c r="E7" s="15"/>
      <c r="F7" s="15">
        <f>F6+Budget233[[#This Row],[ENTRATE]]-Budget233[[#This Row],[USCITE]]</f>
        <v>2130.58</v>
      </c>
    </row>
    <row r="8" spans="1:6" x14ac:dyDescent="0.25">
      <c r="A8" s="12">
        <v>45302</v>
      </c>
      <c r="B8" s="13" t="str">
        <f>TEXT(Budget233[[#This Row],[DATA]],"mmmm")&amp;" "&amp;TEXT(Budget233[[#This Row],[DATA]],"aaaa")</f>
        <v>gennaio 2024</v>
      </c>
      <c r="C8" s="14" t="s">
        <v>11</v>
      </c>
      <c r="D8" s="15"/>
      <c r="E8" s="15">
        <v>500.5</v>
      </c>
      <c r="F8" s="15">
        <f>F7+Budget233[[#This Row],[ENTRATE]]-Budget233[[#This Row],[USCITE]]</f>
        <v>1630.08</v>
      </c>
    </row>
    <row r="9" spans="1:6" x14ac:dyDescent="0.25">
      <c r="A9" s="12">
        <v>45306</v>
      </c>
      <c r="B9" s="13" t="str">
        <f>TEXT(Budget233[[#This Row],[DATA]],"mmmm")&amp;" "&amp;TEXT(Budget233[[#This Row],[DATA]],"aaaa")</f>
        <v>gennaio 2024</v>
      </c>
      <c r="C9" s="14" t="s">
        <v>7</v>
      </c>
      <c r="D9" s="15"/>
      <c r="E9" s="15">
        <v>58.74</v>
      </c>
      <c r="F9" s="15">
        <f>F8+Budget233[[#This Row],[ENTRATE]]-Budget233[[#This Row],[USCITE]]</f>
        <v>1571.34</v>
      </c>
    </row>
    <row r="10" spans="1:6" x14ac:dyDescent="0.25">
      <c r="A10" s="12">
        <v>45306</v>
      </c>
      <c r="B10" s="13" t="str">
        <f>TEXT(Budget233[[#This Row],[DATA]],"mmmm")&amp;" "&amp;TEXT(Budget233[[#This Row],[DATA]],"aaaa")</f>
        <v>gennaio 2024</v>
      </c>
      <c r="C10" s="14" t="s">
        <v>9</v>
      </c>
      <c r="D10" s="15"/>
      <c r="E10" s="15">
        <v>100</v>
      </c>
      <c r="F10" s="15">
        <f>F9+Budget233[[#This Row],[ENTRATE]]-Budget233[[#This Row],[USCITE]]</f>
        <v>1471.34</v>
      </c>
    </row>
    <row r="11" spans="1:6" x14ac:dyDescent="0.25">
      <c r="A11" s="12">
        <v>45306</v>
      </c>
      <c r="B11" s="13" t="str">
        <f>TEXT(Budget233[[#This Row],[DATA]],"mmmm")&amp;" "&amp;TEXT(Budget233[[#This Row],[DATA]],"aaaa")</f>
        <v>gennaio 2024</v>
      </c>
      <c r="C11" s="14" t="s">
        <v>6</v>
      </c>
      <c r="D11" s="15"/>
      <c r="E11" s="15">
        <f>2</f>
        <v>2</v>
      </c>
      <c r="F11" s="15">
        <f>F10+Budget233[[#This Row],[ENTRATE]]-Budget233[[#This Row],[USCITE]]</f>
        <v>1469.34</v>
      </c>
    </row>
    <row r="12" spans="1:6" x14ac:dyDescent="0.25">
      <c r="A12" s="12">
        <v>45306</v>
      </c>
      <c r="B12" s="13" t="str">
        <f>TEXT(Budget233[[#This Row],[DATA]],"mmmm")&amp;" "&amp;TEXT(Budget233[[#This Row],[DATA]],"aaaa")</f>
        <v>gennaio 2024</v>
      </c>
      <c r="C12" s="14" t="s">
        <v>23</v>
      </c>
      <c r="D12" s="15"/>
      <c r="E12" s="15">
        <v>12.35</v>
      </c>
      <c r="F12" s="15">
        <f>F11+Budget233[[#This Row],[ENTRATE]]-Budget233[[#This Row],[USCITE]]</f>
        <v>1456.99</v>
      </c>
    </row>
    <row r="13" spans="1:6" x14ac:dyDescent="0.25">
      <c r="A13" s="12">
        <v>45306</v>
      </c>
      <c r="B13" s="13" t="str">
        <f>TEXT(Budget233[[#This Row],[DATA]],"mmmm")&amp;" "&amp;TEXT(Budget233[[#This Row],[DATA]],"aaaa")</f>
        <v>gennaio 2024</v>
      </c>
      <c r="C13" s="14" t="s">
        <v>13</v>
      </c>
      <c r="D13" s="15"/>
      <c r="E13" s="15">
        <v>3.99</v>
      </c>
      <c r="F13" s="15">
        <f>F12+Budget233[[#This Row],[ENTRATE]]-Budget233[[#This Row],[USCITE]]</f>
        <v>1453</v>
      </c>
    </row>
    <row r="14" spans="1:6" x14ac:dyDescent="0.25">
      <c r="A14" s="12">
        <v>45306</v>
      </c>
      <c r="B14" s="13" t="str">
        <f>TEXT(Budget233[[#This Row],[DATA]],"mmmm")&amp;" "&amp;TEXT(Budget233[[#This Row],[DATA]],"aaaa")</f>
        <v>gennaio 2024</v>
      </c>
      <c r="C14" s="14" t="s">
        <v>91</v>
      </c>
      <c r="D14" s="15"/>
      <c r="E14" s="15">
        <f>101.13+1.2</f>
        <v>102.33</v>
      </c>
      <c r="F14" s="15">
        <f>F13+Budget233[[#This Row],[ENTRATE]]-Budget233[[#This Row],[USCITE]]</f>
        <v>1350.67</v>
      </c>
    </row>
    <row r="15" spans="1:6" x14ac:dyDescent="0.25">
      <c r="A15" s="12">
        <v>45306</v>
      </c>
      <c r="B15" s="13" t="str">
        <f>TEXT(Budget233[[#This Row],[DATA]],"mmmm")&amp;" "&amp;TEXT(Budget233[[#This Row],[DATA]],"aaaa")</f>
        <v>gennaio 2024</v>
      </c>
      <c r="C15" s="14" t="s">
        <v>92</v>
      </c>
      <c r="D15" s="15"/>
      <c r="E15" s="15">
        <v>49</v>
      </c>
      <c r="F15" s="15">
        <f>F14+Budget233[[#This Row],[ENTRATE]]-Budget233[[#This Row],[USCITE]]</f>
        <v>1301.67</v>
      </c>
    </row>
    <row r="16" spans="1:6" x14ac:dyDescent="0.25">
      <c r="A16" s="12">
        <v>45306</v>
      </c>
      <c r="B16" s="13" t="str">
        <f>TEXT(Budget233[[#This Row],[DATA]],"mmmm")&amp;" "&amp;TEXT(Budget233[[#This Row],[DATA]],"aaaa")</f>
        <v>gennaio 2024</v>
      </c>
      <c r="C16" s="14" t="s">
        <v>70</v>
      </c>
      <c r="D16" s="15"/>
      <c r="E16" s="15">
        <v>40</v>
      </c>
      <c r="F16" s="15">
        <f>F15+Budget233[[#This Row],[ENTRATE]]-Budget233[[#This Row],[USCITE]]</f>
        <v>1261.67</v>
      </c>
    </row>
    <row r="17" spans="1:6" x14ac:dyDescent="0.25">
      <c r="A17" s="12">
        <v>45306</v>
      </c>
      <c r="B17" s="13" t="str">
        <f>TEXT(Budget233[[#This Row],[DATA]],"mmmm")&amp;" "&amp;TEXT(Budget233[[#This Row],[DATA]],"aaaa")</f>
        <v>gennaio 2024</v>
      </c>
      <c r="C17" s="14" t="s">
        <v>16</v>
      </c>
      <c r="D17" s="15"/>
      <c r="E17" s="15">
        <v>44.12</v>
      </c>
      <c r="F17" s="15">
        <f>F16+Budget233[[#This Row],[ENTRATE]]-Budget233[[#This Row],[USCITE]]</f>
        <v>1217.5500000000002</v>
      </c>
    </row>
    <row r="18" spans="1:6" x14ac:dyDescent="0.25">
      <c r="A18" s="12">
        <v>45306</v>
      </c>
      <c r="B18" s="13" t="str">
        <f>TEXT(Budget233[[#This Row],[DATA]],"mmmm")&amp;" "&amp;TEXT(Budget233[[#This Row],[DATA]],"aaaa")</f>
        <v>gennaio 2024</v>
      </c>
      <c r="C18" s="14" t="s">
        <v>93</v>
      </c>
      <c r="D18" s="15"/>
      <c r="E18" s="15">
        <v>48</v>
      </c>
      <c r="F18" s="15">
        <f>F17+Budget233[[#This Row],[ENTRATE]]-Budget233[[#This Row],[USCITE]]</f>
        <v>1169.5500000000002</v>
      </c>
    </row>
    <row r="19" spans="1:6" x14ac:dyDescent="0.25">
      <c r="A19" s="12">
        <v>45306</v>
      </c>
      <c r="B19" s="13" t="str">
        <f>TEXT(Budget233[[#This Row],[DATA]],"mmmm")&amp;" "&amp;TEXT(Budget233[[#This Row],[DATA]],"aaaa")</f>
        <v>gennaio 2024</v>
      </c>
      <c r="C19" s="14" t="s">
        <v>9</v>
      </c>
      <c r="D19" s="15"/>
      <c r="E19" s="15">
        <f>200+9.6</f>
        <v>209.6</v>
      </c>
      <c r="F19" s="15">
        <f>F18+Budget233[[#This Row],[ENTRATE]]-Budget233[[#This Row],[USCITE]]</f>
        <v>959.95000000000016</v>
      </c>
    </row>
    <row r="20" spans="1:6" x14ac:dyDescent="0.25">
      <c r="A20" s="12">
        <v>45306</v>
      </c>
      <c r="B20" s="13" t="str">
        <f>TEXT(Budget233[[#This Row],[DATA]],"mmmm")&amp;" "&amp;TEXT(Budget233[[#This Row],[DATA]],"aaaa")</f>
        <v>gennaio 2024</v>
      </c>
      <c r="C20" s="14" t="s">
        <v>7</v>
      </c>
      <c r="D20" s="15"/>
      <c r="E20" s="15">
        <v>27.41</v>
      </c>
      <c r="F20" s="15">
        <f>F19+Budget233[[#This Row],[ENTRATE]]-Budget233[[#This Row],[USCITE]]</f>
        <v>932.54000000000019</v>
      </c>
    </row>
    <row r="21" spans="1:6" x14ac:dyDescent="0.25">
      <c r="A21" s="12">
        <v>45306</v>
      </c>
      <c r="B21" s="13" t="str">
        <f>TEXT(Budget233[[#This Row],[DATA]],"mmmm")&amp;" "&amp;TEXT(Budget233[[#This Row],[DATA]],"aaaa")</f>
        <v>gennaio 2024</v>
      </c>
      <c r="C21" s="14" t="s">
        <v>7</v>
      </c>
      <c r="D21" s="15"/>
      <c r="E21" s="15">
        <v>27.2</v>
      </c>
      <c r="F21" s="15">
        <f>F20+Budget233[[#This Row],[ENTRATE]]-Budget233[[#This Row],[USCITE]]</f>
        <v>905.34000000000015</v>
      </c>
    </row>
    <row r="22" spans="1:6" x14ac:dyDescent="0.25">
      <c r="A22" s="12">
        <v>45306</v>
      </c>
      <c r="B22" s="13" t="str">
        <f>TEXT(Budget233[[#This Row],[DATA]],"mmmm")&amp;" "&amp;TEXT(Budget233[[#This Row],[DATA]],"aaaa")</f>
        <v>gennaio 2024</v>
      </c>
      <c r="C22" s="14" t="s">
        <v>20</v>
      </c>
      <c r="D22" s="15"/>
      <c r="E22" s="15">
        <v>126.04</v>
      </c>
      <c r="F22" s="15">
        <f>F21+Budget233[[#This Row],[ENTRATE]]-Budget233[[#This Row],[USCITE]]</f>
        <v>779.30000000000018</v>
      </c>
    </row>
    <row r="23" spans="1:6" x14ac:dyDescent="0.25">
      <c r="A23" s="12">
        <v>45306</v>
      </c>
      <c r="B23" s="13" t="str">
        <f>TEXT(Budget233[[#This Row],[DATA]],"mmmm")&amp;" "&amp;TEXT(Budget233[[#This Row],[DATA]],"aaaa")</f>
        <v>gennaio 2024</v>
      </c>
      <c r="C23" s="14" t="s">
        <v>94</v>
      </c>
      <c r="D23" s="15"/>
      <c r="E23" s="15">
        <v>54.98</v>
      </c>
      <c r="F23" s="15">
        <f>F22+Budget233[[#This Row],[ENTRATE]]-Budget233[[#This Row],[USCITE]]</f>
        <v>724.32000000000016</v>
      </c>
    </row>
    <row r="24" spans="1:6" x14ac:dyDescent="0.25">
      <c r="A24" s="12">
        <v>45306</v>
      </c>
      <c r="B24" s="13" t="str">
        <f>TEXT(Budget233[[#This Row],[DATA]],"mmmm")&amp;" "&amp;TEXT(Budget233[[#This Row],[DATA]],"aaaa")</f>
        <v>gennaio 2024</v>
      </c>
      <c r="C24" s="14" t="s">
        <v>7</v>
      </c>
      <c r="D24" s="15"/>
      <c r="E24" s="15">
        <v>32</v>
      </c>
      <c r="F24" s="15">
        <f>F23+Budget233[[#This Row],[ENTRATE]]-Budget233[[#This Row],[USCITE]]</f>
        <v>692.32000000000016</v>
      </c>
    </row>
    <row r="25" spans="1:6" x14ac:dyDescent="0.25">
      <c r="A25" s="12">
        <v>45306</v>
      </c>
      <c r="B25" s="13" t="str">
        <f>TEXT(Budget233[[#This Row],[DATA]],"mmmm")&amp;" "&amp;TEXT(Budget233[[#This Row],[DATA]],"aaaa")</f>
        <v>gennaio 2024</v>
      </c>
      <c r="C25" s="14" t="s">
        <v>95</v>
      </c>
      <c r="D25" s="15"/>
      <c r="E25" s="15">
        <v>154</v>
      </c>
      <c r="F25" s="15">
        <f>F24+Budget233[[#This Row],[ENTRATE]]-Budget233[[#This Row],[USCITE]]</f>
        <v>538.32000000000016</v>
      </c>
    </row>
    <row r="26" spans="1:6" x14ac:dyDescent="0.25">
      <c r="A26" s="12">
        <v>45306</v>
      </c>
      <c r="B26" s="13" t="str">
        <f>TEXT(Budget233[[#This Row],[DATA]],"mmmm")&amp;" "&amp;TEXT(Budget233[[#This Row],[DATA]],"aaaa")</f>
        <v>gennaio 2024</v>
      </c>
      <c r="C26" s="14" t="s">
        <v>16</v>
      </c>
      <c r="D26" s="15"/>
      <c r="E26" s="15">
        <v>45.24</v>
      </c>
      <c r="F26" s="15">
        <f>F25+Budget233[[#This Row],[ENTRATE]]-Budget233[[#This Row],[USCITE]]</f>
        <v>493.08000000000015</v>
      </c>
    </row>
    <row r="27" spans="1:6" x14ac:dyDescent="0.25">
      <c r="A27" s="12">
        <v>45306</v>
      </c>
      <c r="B27" s="13" t="str">
        <f>TEXT(Budget233[[#This Row],[DATA]],"mmmm")&amp;" "&amp;TEXT(Budget233[[#This Row],[DATA]],"aaaa")</f>
        <v>gennaio 2024</v>
      </c>
      <c r="C27" s="14" t="s">
        <v>96</v>
      </c>
      <c r="D27" s="15"/>
      <c r="E27" s="15">
        <v>9.5</v>
      </c>
      <c r="F27" s="15">
        <f>F26+Budget233[[#This Row],[ENTRATE]]-Budget233[[#This Row],[USCITE]]</f>
        <v>483.58000000000015</v>
      </c>
    </row>
    <row r="28" spans="1:6" x14ac:dyDescent="0.25">
      <c r="A28" s="12">
        <v>45306</v>
      </c>
      <c r="B28" s="13" t="str">
        <f>TEXT(Budget233[[#This Row],[DATA]],"mmmm")&amp;" "&amp;TEXT(Budget233[[#This Row],[DATA]],"aaaa")</f>
        <v>gennaio 2024</v>
      </c>
      <c r="C28" s="14" t="s">
        <v>7</v>
      </c>
      <c r="D28" s="15"/>
      <c r="E28" s="15">
        <v>23.32</v>
      </c>
      <c r="F28" s="15">
        <f>F27+Budget233[[#This Row],[ENTRATE]]-Budget233[[#This Row],[USCITE]]</f>
        <v>460.26000000000016</v>
      </c>
    </row>
    <row r="29" spans="1:6" x14ac:dyDescent="0.25">
      <c r="A29" s="12">
        <v>45306</v>
      </c>
      <c r="B29" s="13" t="str">
        <f>TEXT(Budget233[[#This Row],[DATA]],"mmmm")&amp;" "&amp;TEXT(Budget233[[#This Row],[DATA]],"aaaa")</f>
        <v>gennaio 2024</v>
      </c>
      <c r="C29" s="14" t="s">
        <v>97</v>
      </c>
      <c r="D29" s="15"/>
      <c r="E29" s="15">
        <v>100</v>
      </c>
      <c r="F29" s="15">
        <f>F28+Budget233[[#This Row],[ENTRATE]]-Budget233[[#This Row],[USCITE]]</f>
        <v>360.26000000000016</v>
      </c>
    </row>
    <row r="30" spans="1:6" x14ac:dyDescent="0.25">
      <c r="A30" s="12">
        <v>45306</v>
      </c>
      <c r="B30" s="13" t="str">
        <f>TEXT(Budget233[[#This Row],[DATA]],"mmmm")&amp;" "&amp;TEXT(Budget233[[#This Row],[DATA]],"aaaa")</f>
        <v>gennaio 2024</v>
      </c>
      <c r="C30" s="14" t="s">
        <v>98</v>
      </c>
      <c r="D30" s="15"/>
      <c r="E30" s="15">
        <v>-435.02</v>
      </c>
      <c r="F30" s="15">
        <f>F29+Budget233[[#This Row],[ENTRATE]]-Budget233[[#This Row],[USCITE]]</f>
        <v>795.2800000000002</v>
      </c>
    </row>
    <row r="31" spans="1:6" x14ac:dyDescent="0.25">
      <c r="A31" s="12">
        <v>45306</v>
      </c>
      <c r="B31" s="13" t="str">
        <f>TEXT(Budget233[[#This Row],[DATA]],"mmmm")&amp;" "&amp;TEXT(Budget233[[#This Row],[DATA]],"aaaa")</f>
        <v>gennaio 2024</v>
      </c>
      <c r="C31" s="14" t="s">
        <v>98</v>
      </c>
      <c r="D31" s="15"/>
      <c r="E31" s="15">
        <f>145.01+1.2</f>
        <v>146.20999999999998</v>
      </c>
      <c r="F31" s="15">
        <f>F30+Budget233[[#This Row],[ENTRATE]]-Budget233[[#This Row],[USCITE]]</f>
        <v>649.07000000000016</v>
      </c>
    </row>
    <row r="32" spans="1:6" x14ac:dyDescent="0.25">
      <c r="A32" s="12">
        <v>45306</v>
      </c>
      <c r="B32" s="13" t="str">
        <f>TEXT(Budget233[[#This Row],[DATA]],"mmmm")&amp;" "&amp;TEXT(Budget233[[#This Row],[DATA]],"aaaa")</f>
        <v>gennaio 2024</v>
      </c>
      <c r="C32" s="14" t="s">
        <v>99</v>
      </c>
      <c r="D32" s="15"/>
      <c r="E32" s="15">
        <v>49.9</v>
      </c>
      <c r="F32" s="15">
        <f>F31+Budget233[[#This Row],[ENTRATE]]-Budget233[[#This Row],[USCITE]]</f>
        <v>599.17000000000019</v>
      </c>
    </row>
    <row r="33" spans="1:6" x14ac:dyDescent="0.25">
      <c r="A33" s="12">
        <v>45306</v>
      </c>
      <c r="B33" s="13" t="str">
        <f>TEXT(Budget233[[#This Row],[DATA]],"mmmm")&amp;" "&amp;TEXT(Budget233[[#This Row],[DATA]],"aaaa")</f>
        <v>gennaio 2024</v>
      </c>
      <c r="C33" s="14" t="s">
        <v>100</v>
      </c>
      <c r="D33" s="15"/>
      <c r="E33" s="15">
        <f>97.6+0.5</f>
        <v>98.1</v>
      </c>
      <c r="F33" s="15">
        <f>F32+Budget233[[#This Row],[ENTRATE]]-Budget233[[#This Row],[USCITE]]</f>
        <v>501.07000000000016</v>
      </c>
    </row>
    <row r="34" spans="1:6" x14ac:dyDescent="0.25">
      <c r="A34" s="12">
        <v>45322</v>
      </c>
      <c r="B34" s="13" t="str">
        <f>TEXT(Budget233[[#This Row],[DATA]],"mmmm")&amp;" "&amp;TEXT(Budget233[[#This Row],[DATA]],"aaaa")</f>
        <v>gennaio 2024</v>
      </c>
      <c r="C34" s="14" t="s">
        <v>18</v>
      </c>
      <c r="D34" s="15"/>
      <c r="E34" s="15">
        <v>307.01</v>
      </c>
      <c r="F34" s="15">
        <f>F33+Budget233[[#This Row],[ENTRATE]]-Budget233[[#This Row],[USCITE]]</f>
        <v>194.06000000000017</v>
      </c>
    </row>
    <row r="35" spans="1:6" x14ac:dyDescent="0.25">
      <c r="A35" s="12">
        <v>45322</v>
      </c>
      <c r="B35" s="13" t="str">
        <f>TEXT(Budget233[[#This Row],[DATA]],"mmmm")&amp;" "&amp;TEXT(Budget233[[#This Row],[DATA]],"aaaa")</f>
        <v>gennaio 2024</v>
      </c>
      <c r="C35" s="14" t="s">
        <v>7</v>
      </c>
      <c r="D35" s="15"/>
      <c r="E35" s="15">
        <v>63.06</v>
      </c>
      <c r="F35" s="15">
        <f>F34+Budget233[[#This Row],[ENTRATE]]-Budget233[[#This Row],[USCITE]]</f>
        <v>131.00000000000017</v>
      </c>
    </row>
    <row r="36" spans="1:6" x14ac:dyDescent="0.25">
      <c r="A36" s="12">
        <v>45330</v>
      </c>
      <c r="B36" s="13" t="str">
        <f>TEXT(Budget233[[#This Row],[DATA]],"mmmm")&amp;" "&amp;TEXT(Budget233[[#This Row],[DATA]],"aaaa")</f>
        <v>febbraio 2024</v>
      </c>
      <c r="C36" s="17" t="s">
        <v>8</v>
      </c>
      <c r="D36" s="19"/>
      <c r="E36" s="19">
        <v>44.87</v>
      </c>
      <c r="F36" s="15">
        <f>F35+Budget233[[#This Row],[ENTRATE]]-Budget233[[#This Row],[USCITE]]</f>
        <v>86.130000000000166</v>
      </c>
    </row>
    <row r="37" spans="1:6" x14ac:dyDescent="0.25">
      <c r="A37" s="12">
        <v>45334</v>
      </c>
      <c r="B37" s="13" t="str">
        <f>TEXT(Budget233[[#This Row],[DATA]],"mmmm")&amp;" "&amp;TEXT(Budget233[[#This Row],[DATA]],"aaaa")</f>
        <v>febbraio 2024</v>
      </c>
      <c r="C37" s="18" t="s">
        <v>10</v>
      </c>
      <c r="D37" s="19">
        <v>1981</v>
      </c>
      <c r="E37" s="19"/>
      <c r="F37" s="15">
        <f>F36+Budget233[[#This Row],[ENTRATE]]-Budget233[[#This Row],[USCITE]]</f>
        <v>2067.13</v>
      </c>
    </row>
    <row r="38" spans="1:6" x14ac:dyDescent="0.25">
      <c r="A38" s="12">
        <v>45335</v>
      </c>
      <c r="B38" s="13" t="str">
        <f>TEXT(Budget233[[#This Row],[DATA]],"mmmm")&amp;" "&amp;TEXT(Budget233[[#This Row],[DATA]],"aaaa")</f>
        <v>febbraio 2024</v>
      </c>
      <c r="C38" s="18" t="s">
        <v>11</v>
      </c>
      <c r="D38" s="19"/>
      <c r="E38" s="19">
        <v>500.5</v>
      </c>
      <c r="F38" s="15">
        <f>F37+Budget233[[#This Row],[ENTRATE]]-Budget233[[#This Row],[USCITE]]</f>
        <v>1566.63</v>
      </c>
    </row>
    <row r="39" spans="1:6" x14ac:dyDescent="0.25">
      <c r="A39" s="12">
        <v>45338</v>
      </c>
      <c r="B39" s="13" t="str">
        <f>TEXT(Budget233[[#This Row],[DATA]],"mmmm")&amp;" "&amp;TEXT(Budget233[[#This Row],[DATA]],"aaaa")</f>
        <v>febbraio 2024</v>
      </c>
      <c r="C39" s="14" t="s">
        <v>13</v>
      </c>
      <c r="D39" s="15"/>
      <c r="E39" s="15">
        <v>3.99</v>
      </c>
      <c r="F39" s="15">
        <f>F38+Budget233[[#This Row],[ENTRATE]]-Budget233[[#This Row],[USCITE]]</f>
        <v>1562.64</v>
      </c>
    </row>
    <row r="40" spans="1:6" x14ac:dyDescent="0.25">
      <c r="A40" s="12">
        <v>45338</v>
      </c>
      <c r="B40" s="13" t="str">
        <f>TEXT(Budget233[[#This Row],[DATA]],"mmmm")&amp;" "&amp;TEXT(Budget233[[#This Row],[DATA]],"aaaa")</f>
        <v>febbraio 2024</v>
      </c>
      <c r="C40" s="18" t="s">
        <v>101</v>
      </c>
      <c r="D40" s="19"/>
      <c r="E40" s="19">
        <v>91.5</v>
      </c>
      <c r="F40" s="15">
        <f>F39+Budget233[[#This Row],[ENTRATE]]-Budget233[[#This Row],[USCITE]]</f>
        <v>1471.14</v>
      </c>
    </row>
    <row r="41" spans="1:6" x14ac:dyDescent="0.25">
      <c r="A41" s="12">
        <v>45338</v>
      </c>
      <c r="B41" s="13" t="str">
        <f>TEXT(Budget233[[#This Row],[DATA]],"mmmm")&amp;" "&amp;TEXT(Budget233[[#This Row],[DATA]],"aaaa")</f>
        <v>febbraio 2024</v>
      </c>
      <c r="C41" s="18" t="s">
        <v>7</v>
      </c>
      <c r="D41" s="19"/>
      <c r="E41" s="19">
        <v>25.31</v>
      </c>
      <c r="F41" s="15">
        <f>F40+Budget233[[#This Row],[ENTRATE]]-Budget233[[#This Row],[USCITE]]</f>
        <v>1445.8300000000002</v>
      </c>
    </row>
    <row r="42" spans="1:6" x14ac:dyDescent="0.25">
      <c r="A42" s="12">
        <v>45338</v>
      </c>
      <c r="B42" s="13" t="str">
        <f>TEXT(Budget233[[#This Row],[DATA]],"mmmm")&amp;" "&amp;TEXT(Budget233[[#This Row],[DATA]],"aaaa")</f>
        <v>febbraio 2024</v>
      </c>
      <c r="C42" s="18" t="s">
        <v>7</v>
      </c>
      <c r="D42" s="19"/>
      <c r="E42" s="19">
        <v>22.97</v>
      </c>
      <c r="F42" s="15">
        <f>F41+Budget233[[#This Row],[ENTRATE]]-Budget233[[#This Row],[USCITE]]</f>
        <v>1422.8600000000001</v>
      </c>
    </row>
    <row r="43" spans="1:6" x14ac:dyDescent="0.25">
      <c r="A43" s="12">
        <v>45338</v>
      </c>
      <c r="B43" s="13" t="str">
        <f>TEXT(Budget233[[#This Row],[DATA]],"mmmm")&amp;" "&amp;TEXT(Budget233[[#This Row],[DATA]],"aaaa")</f>
        <v>febbraio 2024</v>
      </c>
      <c r="C43" s="18" t="s">
        <v>16</v>
      </c>
      <c r="D43" s="19"/>
      <c r="E43" s="19">
        <v>15.96</v>
      </c>
      <c r="F43" s="15">
        <f>F42+Budget233[[#This Row],[ENTRATE]]-Budget233[[#This Row],[USCITE]]</f>
        <v>1406.9</v>
      </c>
    </row>
    <row r="44" spans="1:6" x14ac:dyDescent="0.25">
      <c r="A44" s="12">
        <v>45338</v>
      </c>
      <c r="B44" s="13" t="str">
        <f>TEXT(Budget233[[#This Row],[DATA]],"mmmm")&amp;" "&amp;TEXT(Budget233[[#This Row],[DATA]],"aaaa")</f>
        <v>febbraio 2024</v>
      </c>
      <c r="C44" s="18" t="s">
        <v>7</v>
      </c>
      <c r="D44" s="19"/>
      <c r="E44" s="19">
        <v>23.8</v>
      </c>
      <c r="F44" s="15">
        <f>F43+Budget233[[#This Row],[ENTRATE]]-Budget233[[#This Row],[USCITE]]</f>
        <v>1383.1000000000001</v>
      </c>
    </row>
    <row r="45" spans="1:6" x14ac:dyDescent="0.25">
      <c r="A45" s="12">
        <v>45338</v>
      </c>
      <c r="B45" s="13" t="str">
        <f>TEXT(Budget233[[#This Row],[DATA]],"mmmm")&amp;" "&amp;TEXT(Budget233[[#This Row],[DATA]],"aaaa")</f>
        <v>febbraio 2024</v>
      </c>
      <c r="C45" s="18" t="s">
        <v>7</v>
      </c>
      <c r="D45" s="19"/>
      <c r="E45" s="19">
        <v>23</v>
      </c>
      <c r="F45" s="15">
        <f>F44+Budget233[[#This Row],[ENTRATE]]-Budget233[[#This Row],[USCITE]]</f>
        <v>1360.1000000000001</v>
      </c>
    </row>
    <row r="46" spans="1:6" x14ac:dyDescent="0.25">
      <c r="A46" s="12">
        <v>45338</v>
      </c>
      <c r="B46" s="13" t="str">
        <f>TEXT(Budget233[[#This Row],[DATA]],"mmmm")&amp;" "&amp;TEXT(Budget233[[#This Row],[DATA]],"aaaa")</f>
        <v>febbraio 2024</v>
      </c>
      <c r="C46" s="18" t="s">
        <v>7</v>
      </c>
      <c r="D46" s="19"/>
      <c r="E46" s="19">
        <v>23.55</v>
      </c>
      <c r="F46" s="15">
        <f>F45+Budget233[[#This Row],[ENTRATE]]-Budget233[[#This Row],[USCITE]]</f>
        <v>1336.5500000000002</v>
      </c>
    </row>
    <row r="47" spans="1:6" x14ac:dyDescent="0.25">
      <c r="A47" s="12">
        <v>45338</v>
      </c>
      <c r="B47" s="13" t="str">
        <f>TEXT(Budget233[[#This Row],[DATA]],"mmmm")&amp;" "&amp;TEXT(Budget233[[#This Row],[DATA]],"aaaa")</f>
        <v>febbraio 2024</v>
      </c>
      <c r="C47" s="18" t="s">
        <v>12</v>
      </c>
      <c r="D47" s="19"/>
      <c r="E47" s="19">
        <v>10</v>
      </c>
      <c r="F47" s="15">
        <f>F46+Budget233[[#This Row],[ENTRATE]]-Budget233[[#This Row],[USCITE]]</f>
        <v>1326.5500000000002</v>
      </c>
    </row>
    <row r="48" spans="1:6" x14ac:dyDescent="0.25">
      <c r="A48" s="12">
        <v>45338</v>
      </c>
      <c r="B48" s="13" t="str">
        <f>TEXT(Budget233[[#This Row],[DATA]],"mmmm")&amp;" "&amp;TEXT(Budget233[[#This Row],[DATA]],"aaaa")</f>
        <v>febbraio 2024</v>
      </c>
      <c r="C48" s="18" t="s">
        <v>20</v>
      </c>
      <c r="D48" s="19"/>
      <c r="E48" s="19">
        <v>89.82</v>
      </c>
      <c r="F48" s="15">
        <f>F47+Budget233[[#This Row],[ENTRATE]]-Budget233[[#This Row],[USCITE]]</f>
        <v>1236.7300000000002</v>
      </c>
    </row>
    <row r="49" spans="1:6" x14ac:dyDescent="0.25">
      <c r="A49" s="12">
        <v>45338</v>
      </c>
      <c r="B49" s="13" t="str">
        <f>TEXT(Budget233[[#This Row],[DATA]],"mmmm")&amp;" "&amp;TEXT(Budget233[[#This Row],[DATA]],"aaaa")</f>
        <v>febbraio 2024</v>
      </c>
      <c r="C49" s="18" t="s">
        <v>15</v>
      </c>
      <c r="D49" s="19"/>
      <c r="E49" s="19">
        <f>145.01+1.2</f>
        <v>146.20999999999998</v>
      </c>
      <c r="F49" s="15">
        <f>F48+Budget233[[#This Row],[ENTRATE]]-Budget233[[#This Row],[USCITE]]</f>
        <v>1090.5200000000002</v>
      </c>
    </row>
    <row r="50" spans="1:6" x14ac:dyDescent="0.25">
      <c r="A50" s="12">
        <v>45338</v>
      </c>
      <c r="B50" s="13" t="str">
        <f>TEXT(Budget233[[#This Row],[DATA]],"mmmm")&amp;" "&amp;TEXT(Budget233[[#This Row],[DATA]],"aaaa")</f>
        <v>febbraio 2024</v>
      </c>
      <c r="C50" s="18" t="s">
        <v>6</v>
      </c>
      <c r="D50" s="19"/>
      <c r="E50" s="19">
        <v>2</v>
      </c>
      <c r="F50" s="15">
        <f>F49+Budget233[[#This Row],[ENTRATE]]-Budget233[[#This Row],[USCITE]]</f>
        <v>1088.5200000000002</v>
      </c>
    </row>
    <row r="51" spans="1:6" x14ac:dyDescent="0.25">
      <c r="A51" s="12">
        <v>45341</v>
      </c>
      <c r="B51" s="13" t="str">
        <f>TEXT(Budget233[[#This Row],[DATA]],"mmmm")&amp;" "&amp;TEXT(Budget233[[#This Row],[DATA]],"aaaa")</f>
        <v>febbraio 2024</v>
      </c>
      <c r="C51" s="18" t="s">
        <v>9</v>
      </c>
      <c r="D51" s="19"/>
      <c r="E51" s="19">
        <v>50</v>
      </c>
      <c r="F51" s="15">
        <f>F50+Budget233[[#This Row],[ENTRATE]]-Budget233[[#This Row],[USCITE]]</f>
        <v>1038.5200000000002</v>
      </c>
    </row>
    <row r="52" spans="1:6" x14ac:dyDescent="0.25">
      <c r="A52" s="12">
        <v>45341</v>
      </c>
      <c r="B52" s="13" t="str">
        <f>TEXT(Budget233[[#This Row],[DATA]],"mmmm")&amp;" "&amp;TEXT(Budget233[[#This Row],[DATA]],"aaaa")</f>
        <v>febbraio 2024</v>
      </c>
      <c r="C52" s="18" t="s">
        <v>102</v>
      </c>
      <c r="D52" s="19"/>
      <c r="E52" s="19">
        <v>35</v>
      </c>
      <c r="F52" s="15">
        <f>F51+Budget233[[#This Row],[ENTRATE]]-Budget233[[#This Row],[USCITE]]</f>
        <v>1003.5200000000002</v>
      </c>
    </row>
    <row r="53" spans="1:6" x14ac:dyDescent="0.25">
      <c r="A53" s="12">
        <v>45341</v>
      </c>
      <c r="B53" s="13" t="str">
        <f>TEXT(Budget233[[#This Row],[DATA]],"mmmm")&amp;" "&amp;TEXT(Budget233[[#This Row],[DATA]],"aaaa")</f>
        <v>febbraio 2024</v>
      </c>
      <c r="C53" s="18" t="s">
        <v>7</v>
      </c>
      <c r="D53" s="19"/>
      <c r="E53" s="19">
        <v>14.26</v>
      </c>
      <c r="F53" s="15">
        <f>F52+Budget233[[#This Row],[ENTRATE]]-Budget233[[#This Row],[USCITE]]</f>
        <v>989.26000000000022</v>
      </c>
    </row>
    <row r="54" spans="1:6" x14ac:dyDescent="0.25">
      <c r="A54" s="12">
        <v>45351</v>
      </c>
      <c r="B54" s="13" t="str">
        <f>TEXT(Budget233[[#This Row],[DATA]],"mmmm")&amp;" "&amp;TEXT(Budget233[[#This Row],[DATA]],"aaaa")</f>
        <v>febbraio 2024</v>
      </c>
      <c r="C54" s="18" t="s">
        <v>18</v>
      </c>
      <c r="D54" s="19"/>
      <c r="E54" s="19">
        <v>307.01</v>
      </c>
      <c r="F54" s="15">
        <f>F53+Budget233[[#This Row],[ENTRATE]]-Budget233[[#This Row],[USCITE]]</f>
        <v>682.25000000000023</v>
      </c>
    </row>
    <row r="55" spans="1:6" x14ac:dyDescent="0.25">
      <c r="A55" s="12">
        <v>45359</v>
      </c>
      <c r="B55" s="13" t="str">
        <f>TEXT(Budget233[[#This Row],[DATA]],"mmmm")&amp;" "&amp;TEXT(Budget233[[#This Row],[DATA]],"aaaa")</f>
        <v>marzo 2024</v>
      </c>
      <c r="C55" s="17" t="s">
        <v>8</v>
      </c>
      <c r="D55" s="19"/>
      <c r="E55" s="19">
        <v>44.87</v>
      </c>
      <c r="F55" s="15">
        <f>F54+Budget233[[#This Row],[ENTRATE]]-Budget233[[#This Row],[USCITE]]</f>
        <v>637.38000000000022</v>
      </c>
    </row>
    <row r="56" spans="1:6" x14ac:dyDescent="0.25">
      <c r="A56" s="12">
        <v>45361</v>
      </c>
      <c r="B56" s="13" t="str">
        <f>TEXT(Budget233[[#This Row],[DATA]],"mmmm")&amp;" "&amp;TEXT(Budget233[[#This Row],[DATA]],"aaaa")</f>
        <v>marzo 2024</v>
      </c>
      <c r="C56" s="18" t="s">
        <v>10</v>
      </c>
      <c r="D56" s="19">
        <v>1750</v>
      </c>
      <c r="E56" s="19"/>
      <c r="F56" s="15">
        <f>F55+Budget233[[#This Row],[ENTRATE]]-Budget233[[#This Row],[USCITE]]</f>
        <v>2387.38</v>
      </c>
    </row>
    <row r="57" spans="1:6" x14ac:dyDescent="0.25">
      <c r="A57" s="12">
        <v>45362</v>
      </c>
      <c r="B57" s="13" t="str">
        <f>TEXT(Budget233[[#This Row],[DATA]],"mmmm")&amp;" "&amp;TEXT(Budget233[[#This Row],[DATA]],"aaaa")</f>
        <v>marzo 2024</v>
      </c>
      <c r="C57" s="18" t="s">
        <v>11</v>
      </c>
      <c r="D57" s="19"/>
      <c r="E57" s="19">
        <v>500.5</v>
      </c>
      <c r="F57" s="15">
        <f>F56+Budget233[[#This Row],[ENTRATE]]-Budget233[[#This Row],[USCITE]]</f>
        <v>1886.88</v>
      </c>
    </row>
    <row r="58" spans="1:6" x14ac:dyDescent="0.25">
      <c r="A58" s="12">
        <v>45367</v>
      </c>
      <c r="B58" s="13" t="str">
        <f>TEXT(Budget233[[#This Row],[DATA]],"mmmm")&amp;" "&amp;TEXT(Budget233[[#This Row],[DATA]],"aaaa")</f>
        <v>marzo 2024</v>
      </c>
      <c r="C58" s="14" t="s">
        <v>13</v>
      </c>
      <c r="D58" s="15"/>
      <c r="E58" s="15">
        <v>4.25</v>
      </c>
      <c r="F58" s="15">
        <f>F57+Budget233[[#This Row],[ENTRATE]]-Budget233[[#This Row],[USCITE]]</f>
        <v>1882.63</v>
      </c>
    </row>
    <row r="59" spans="1:6" x14ac:dyDescent="0.25">
      <c r="A59" s="12">
        <v>45367</v>
      </c>
      <c r="B59" s="13" t="str">
        <f>TEXT(Budget233[[#This Row],[DATA]],"mmmm")&amp;" "&amp;TEXT(Budget233[[#This Row],[DATA]],"aaaa")</f>
        <v>marzo 2024</v>
      </c>
      <c r="C59" s="18" t="s">
        <v>9</v>
      </c>
      <c r="D59" s="19"/>
      <c r="E59" s="19">
        <v>260</v>
      </c>
      <c r="F59" s="15">
        <f>F58+Budget233[[#This Row],[ENTRATE]]-Budget233[[#This Row],[USCITE]]</f>
        <v>1622.63</v>
      </c>
    </row>
    <row r="60" spans="1:6" x14ac:dyDescent="0.25">
      <c r="A60" s="12">
        <v>45367</v>
      </c>
      <c r="B60" s="13" t="str">
        <f>TEXT(Budget233[[#This Row],[DATA]],"mmmm")&amp;" "&amp;TEXT(Budget233[[#This Row],[DATA]],"aaaa")</f>
        <v>marzo 2024</v>
      </c>
      <c r="C60" s="18" t="s">
        <v>7</v>
      </c>
      <c r="D60" s="19"/>
      <c r="E60" s="19">
        <v>23.3</v>
      </c>
      <c r="F60" s="15">
        <f>F59+Budget233[[#This Row],[ENTRATE]]-Budget233[[#This Row],[USCITE]]</f>
        <v>1599.3300000000002</v>
      </c>
    </row>
    <row r="61" spans="1:6" x14ac:dyDescent="0.25">
      <c r="A61" s="12">
        <v>45367</v>
      </c>
      <c r="B61" s="13" t="str">
        <f>TEXT(Budget233[[#This Row],[DATA]],"mmmm")&amp;" "&amp;TEXT(Budget233[[#This Row],[DATA]],"aaaa")</f>
        <v>marzo 2024</v>
      </c>
      <c r="C61" s="18" t="s">
        <v>103</v>
      </c>
      <c r="D61" s="19"/>
      <c r="E61" s="19">
        <v>31.25</v>
      </c>
      <c r="F61" s="15">
        <f>F60+Budget233[[#This Row],[ENTRATE]]-Budget233[[#This Row],[USCITE]]</f>
        <v>1568.0800000000002</v>
      </c>
    </row>
    <row r="62" spans="1:6" x14ac:dyDescent="0.25">
      <c r="A62" s="12">
        <v>45367</v>
      </c>
      <c r="B62" s="13" t="str">
        <f>TEXT(Budget233[[#This Row],[DATA]],"mmmm")&amp;" "&amp;TEXT(Budget233[[#This Row],[DATA]],"aaaa")</f>
        <v>marzo 2024</v>
      </c>
      <c r="C62" s="18" t="s">
        <v>103</v>
      </c>
      <c r="D62" s="19"/>
      <c r="E62" s="19">
        <v>17.350000000000001</v>
      </c>
      <c r="F62" s="15">
        <f>F61+Budget233[[#This Row],[ENTRATE]]-Budget233[[#This Row],[USCITE]]</f>
        <v>1550.7300000000002</v>
      </c>
    </row>
    <row r="63" spans="1:6" x14ac:dyDescent="0.25">
      <c r="A63" s="12">
        <v>45367</v>
      </c>
      <c r="B63" s="13" t="str">
        <f>TEXT(Budget233[[#This Row],[DATA]],"mmmm")&amp;" "&amp;TEXT(Budget233[[#This Row],[DATA]],"aaaa")</f>
        <v>marzo 2024</v>
      </c>
      <c r="C63" s="18" t="s">
        <v>104</v>
      </c>
      <c r="D63" s="19"/>
      <c r="E63" s="19">
        <v>27.5</v>
      </c>
      <c r="F63" s="15">
        <f>F62+Budget233[[#This Row],[ENTRATE]]-Budget233[[#This Row],[USCITE]]</f>
        <v>1523.2300000000002</v>
      </c>
    </row>
    <row r="64" spans="1:6" x14ac:dyDescent="0.25">
      <c r="A64" s="12">
        <v>45367</v>
      </c>
      <c r="B64" s="13" t="str">
        <f>TEXT(Budget233[[#This Row],[DATA]],"mmmm")&amp;" "&amp;TEXT(Budget233[[#This Row],[DATA]],"aaaa")</f>
        <v>marzo 2024</v>
      </c>
      <c r="C64" s="18" t="s">
        <v>12</v>
      </c>
      <c r="D64" s="19"/>
      <c r="E64" s="19">
        <v>10</v>
      </c>
      <c r="F64" s="15">
        <f>F63+Budget233[[#This Row],[ENTRATE]]-Budget233[[#This Row],[USCITE]]</f>
        <v>1513.2300000000002</v>
      </c>
    </row>
    <row r="65" spans="1:6" x14ac:dyDescent="0.25">
      <c r="A65" s="12">
        <v>45367</v>
      </c>
      <c r="B65" s="13" t="str">
        <f>TEXT(Budget233[[#This Row],[DATA]],"mmmm")&amp;" "&amp;TEXT(Budget233[[#This Row],[DATA]],"aaaa")</f>
        <v>marzo 2024</v>
      </c>
      <c r="C65" s="18" t="s">
        <v>24</v>
      </c>
      <c r="D65" s="19"/>
      <c r="E65" s="19">
        <v>42</v>
      </c>
      <c r="F65" s="15">
        <f>F64+Budget233[[#This Row],[ENTRATE]]-Budget233[[#This Row],[USCITE]]</f>
        <v>1471.2300000000002</v>
      </c>
    </row>
    <row r="66" spans="1:6" x14ac:dyDescent="0.25">
      <c r="A66" s="12">
        <v>45367</v>
      </c>
      <c r="B66" s="13" t="str">
        <f>TEXT(Budget233[[#This Row],[DATA]],"mmmm")&amp;" "&amp;TEXT(Budget233[[#This Row],[DATA]],"aaaa")</f>
        <v>marzo 2024</v>
      </c>
      <c r="C66" s="18" t="s">
        <v>9</v>
      </c>
      <c r="D66" s="19"/>
      <c r="E66" s="19">
        <v>260</v>
      </c>
      <c r="F66" s="15">
        <f>F65+Budget233[[#This Row],[ENTRATE]]-Budget233[[#This Row],[USCITE]]</f>
        <v>1211.2300000000002</v>
      </c>
    </row>
    <row r="67" spans="1:6" x14ac:dyDescent="0.25">
      <c r="A67" s="12">
        <v>45367</v>
      </c>
      <c r="B67" s="13" t="str">
        <f>TEXT(Budget233[[#This Row],[DATA]],"mmmm")&amp;" "&amp;TEXT(Budget233[[#This Row],[DATA]],"aaaa")</f>
        <v>marzo 2024</v>
      </c>
      <c r="C67" s="18" t="s">
        <v>7</v>
      </c>
      <c r="D67" s="19"/>
      <c r="E67" s="19">
        <v>26.66</v>
      </c>
      <c r="F67" s="15">
        <f>F66+Budget233[[#This Row],[ENTRATE]]-Budget233[[#This Row],[USCITE]]</f>
        <v>1184.5700000000002</v>
      </c>
    </row>
    <row r="68" spans="1:6" x14ac:dyDescent="0.25">
      <c r="A68" s="12">
        <v>45367</v>
      </c>
      <c r="B68" s="13" t="str">
        <f>TEXT(Budget233[[#This Row],[DATA]],"mmmm")&amp;" "&amp;TEXT(Budget233[[#This Row],[DATA]],"aaaa")</f>
        <v>marzo 2024</v>
      </c>
      <c r="C68" s="18" t="s">
        <v>7</v>
      </c>
      <c r="D68" s="19"/>
      <c r="E68" s="19">
        <v>25.2</v>
      </c>
      <c r="F68" s="15">
        <f>F67+Budget233[[#This Row],[ENTRATE]]-Budget233[[#This Row],[USCITE]]</f>
        <v>1159.3700000000001</v>
      </c>
    </row>
    <row r="69" spans="1:6" x14ac:dyDescent="0.25">
      <c r="A69" s="12">
        <v>45367</v>
      </c>
      <c r="B69" s="13" t="str">
        <f>TEXT(Budget233[[#This Row],[DATA]],"mmmm")&amp;" "&amp;TEXT(Budget233[[#This Row],[DATA]],"aaaa")</f>
        <v>marzo 2024</v>
      </c>
      <c r="C69" s="18" t="s">
        <v>9</v>
      </c>
      <c r="D69" s="19"/>
      <c r="E69" s="19">
        <v>260</v>
      </c>
      <c r="F69" s="15">
        <f>F68+Budget233[[#This Row],[ENTRATE]]-Budget233[[#This Row],[USCITE]]</f>
        <v>899.37000000000012</v>
      </c>
    </row>
    <row r="70" spans="1:6" x14ac:dyDescent="0.25">
      <c r="A70" s="12">
        <v>45367</v>
      </c>
      <c r="B70" s="13" t="str">
        <f>TEXT(Budget233[[#This Row],[DATA]],"mmmm")&amp;" "&amp;TEXT(Budget233[[#This Row],[DATA]],"aaaa")</f>
        <v>marzo 2024</v>
      </c>
      <c r="C70" s="18" t="s">
        <v>105</v>
      </c>
      <c r="D70" s="19"/>
      <c r="E70" s="19">
        <v>146.4</v>
      </c>
      <c r="F70" s="15">
        <f>F69+Budget233[[#This Row],[ENTRATE]]-Budget233[[#This Row],[USCITE]]</f>
        <v>752.97000000000014</v>
      </c>
    </row>
    <row r="71" spans="1:6" x14ac:dyDescent="0.25">
      <c r="A71" s="12">
        <v>45367</v>
      </c>
      <c r="B71" s="13" t="str">
        <f>TEXT(Budget233[[#This Row],[DATA]],"mmmm")&amp;" "&amp;TEXT(Budget233[[#This Row],[DATA]],"aaaa")</f>
        <v>marzo 2024</v>
      </c>
      <c r="C71" s="18" t="s">
        <v>12</v>
      </c>
      <c r="D71" s="19"/>
      <c r="E71" s="19">
        <v>37.119999999999997</v>
      </c>
      <c r="F71" s="15">
        <f>F70+Budget233[[#This Row],[ENTRATE]]-Budget233[[#This Row],[USCITE]]</f>
        <v>715.85000000000014</v>
      </c>
    </row>
    <row r="72" spans="1:6" x14ac:dyDescent="0.25">
      <c r="A72" s="12">
        <v>45367</v>
      </c>
      <c r="B72" s="13" t="str">
        <f>TEXT(Budget233[[#This Row],[DATA]],"mmmm")&amp;" "&amp;TEXT(Budget233[[#This Row],[DATA]],"aaaa")</f>
        <v>marzo 2024</v>
      </c>
      <c r="C72" s="18" t="s">
        <v>7</v>
      </c>
      <c r="D72" s="19"/>
      <c r="E72" s="19">
        <v>27.2</v>
      </c>
      <c r="F72" s="15">
        <f>F71+Budget233[[#This Row],[ENTRATE]]-Budget233[[#This Row],[USCITE]]</f>
        <v>688.65000000000009</v>
      </c>
    </row>
    <row r="73" spans="1:6" x14ac:dyDescent="0.25">
      <c r="A73" s="12">
        <v>45382</v>
      </c>
      <c r="B73" s="13" t="str">
        <f>TEXT(Budget233[[#This Row],[DATA]],"mmmm")&amp;" "&amp;TEXT(Budget233[[#This Row],[DATA]],"aaaa")</f>
        <v>marzo 2024</v>
      </c>
      <c r="C73" s="18" t="s">
        <v>18</v>
      </c>
      <c r="D73" s="19"/>
      <c r="E73" s="19">
        <v>307.01</v>
      </c>
      <c r="F73" s="15">
        <f>F72+Budget233[[#This Row],[ENTRATE]]-Budget233[[#This Row],[USCITE]]</f>
        <v>381.6400000000001</v>
      </c>
    </row>
    <row r="74" spans="1:6" x14ac:dyDescent="0.25">
      <c r="A74" s="12">
        <v>45390</v>
      </c>
      <c r="B74" s="13" t="str">
        <f>TEXT(Budget233[[#This Row],[DATA]],"mmmm")&amp;" "&amp;TEXT(Budget233[[#This Row],[DATA]],"aaaa")</f>
        <v>aprile 2024</v>
      </c>
      <c r="C74" s="13" t="s">
        <v>8</v>
      </c>
      <c r="D74" s="15"/>
      <c r="E74" s="15">
        <v>44.87</v>
      </c>
      <c r="F74" s="15">
        <f>F73+Budget233[[#This Row],[ENTRATE]]-Budget233[[#This Row],[USCITE]]</f>
        <v>336.7700000000001</v>
      </c>
    </row>
    <row r="75" spans="1:6" x14ac:dyDescent="0.25">
      <c r="A75" s="12">
        <v>45392</v>
      </c>
      <c r="B75" s="13" t="str">
        <f>TEXT(Budget233[[#This Row],[DATA]],"mmmm")&amp;" "&amp;TEXT(Budget233[[#This Row],[DATA]],"aaaa")</f>
        <v>aprile 2024</v>
      </c>
      <c r="C75" s="14" t="s">
        <v>10</v>
      </c>
      <c r="D75" s="15">
        <v>1750</v>
      </c>
      <c r="E75" s="15"/>
      <c r="F75" s="15">
        <f>F74+Budget233[[#This Row],[ENTRATE]]-Budget233[[#This Row],[USCITE]]</f>
        <v>2086.77</v>
      </c>
    </row>
    <row r="76" spans="1:6" x14ac:dyDescent="0.25">
      <c r="A76" s="12">
        <v>45393</v>
      </c>
      <c r="B76" s="13" t="str">
        <f>TEXT(Budget233[[#This Row],[DATA]],"mmmm")&amp;" "&amp;TEXT(Budget233[[#This Row],[DATA]],"aaaa")</f>
        <v>aprile 2024</v>
      </c>
      <c r="C76" s="14" t="s">
        <v>11</v>
      </c>
      <c r="D76" s="15"/>
      <c r="E76" s="15">
        <v>1000.5</v>
      </c>
      <c r="F76" s="15">
        <f>F75+Budget233[[#This Row],[ENTRATE]]-Budget233[[#This Row],[USCITE]]</f>
        <v>1086.27</v>
      </c>
    </row>
    <row r="77" spans="1:6" x14ac:dyDescent="0.25">
      <c r="A77" s="22">
        <v>45411</v>
      </c>
      <c r="B77" s="23" t="str">
        <f>TEXT(Budget233[[#This Row],[DATA]],"mmmm")&amp;" "&amp;TEXT(Budget233[[#This Row],[DATA]],"aaaa")</f>
        <v>aprile 2024</v>
      </c>
      <c r="C77" s="24" t="s">
        <v>7</v>
      </c>
      <c r="D77" s="25"/>
      <c r="E77" s="25">
        <v>25.91</v>
      </c>
      <c r="F77" s="25">
        <f>F76+Budget233[[#This Row],[ENTRATE]]-Budget233[[#This Row],[USCITE]]</f>
        <v>1060.3599999999999</v>
      </c>
    </row>
    <row r="78" spans="1:6" x14ac:dyDescent="0.25">
      <c r="A78" s="12">
        <v>45412</v>
      </c>
      <c r="B78" s="13" t="str">
        <f>TEXT(Budget233[[#This Row],[DATA]],"mmmm")&amp;" "&amp;TEXT(Budget233[[#This Row],[DATA]],"aaaa")</f>
        <v>aprile 2024</v>
      </c>
      <c r="C78" s="14" t="s">
        <v>18</v>
      </c>
      <c r="D78" s="15"/>
      <c r="E78" s="15">
        <v>307.01</v>
      </c>
      <c r="F78" s="15">
        <f>F77+Budget233[[#This Row],[ENTRATE]]-Budget233[[#This Row],[USCITE]]</f>
        <v>753.34999999999991</v>
      </c>
    </row>
    <row r="79" spans="1:6" x14ac:dyDescent="0.25">
      <c r="A79" s="12">
        <v>45418</v>
      </c>
      <c r="B79" s="13" t="str">
        <f>TEXT(Budget233[[#This Row],[DATA]],"mmmm")&amp;" "&amp;TEXT(Budget233[[#This Row],[DATA]],"aaaa")</f>
        <v>maggio 2024</v>
      </c>
      <c r="C79" s="13" t="s">
        <v>11</v>
      </c>
      <c r="D79" s="15"/>
      <c r="E79" s="15">
        <f>300+10</f>
        <v>310</v>
      </c>
      <c r="F79" s="15">
        <f>F78+Budget233[[#This Row],[ENTRATE]]-Budget233[[#This Row],[USCITE]]</f>
        <v>443.34999999999991</v>
      </c>
    </row>
    <row r="80" spans="1:6" x14ac:dyDescent="0.25">
      <c r="A80" s="12">
        <v>45420</v>
      </c>
      <c r="B80" s="13" t="str">
        <f>TEXT(Budget233[[#This Row],[DATA]],"mmmm")&amp;" "&amp;TEXT(Budget233[[#This Row],[DATA]],"aaaa")</f>
        <v>maggio 2024</v>
      </c>
      <c r="C80" s="13" t="s">
        <v>8</v>
      </c>
      <c r="D80" s="15"/>
      <c r="E80" s="15">
        <v>47.77</v>
      </c>
      <c r="F80" s="15">
        <f>F79+Budget233[[#This Row],[ENTRATE]]-Budget233[[#This Row],[USCITE]]</f>
        <v>395.57999999999993</v>
      </c>
    </row>
    <row r="81" spans="1:6" x14ac:dyDescent="0.25">
      <c r="A81" s="12">
        <v>45425</v>
      </c>
      <c r="B81" s="13" t="str">
        <f>TEXT(Budget233[[#This Row],[DATA]],"mmmm")&amp;" "&amp;TEXT(Budget233[[#This Row],[DATA]],"aaaa")</f>
        <v>maggio 2024</v>
      </c>
      <c r="C81" s="14" t="s">
        <v>10</v>
      </c>
      <c r="D81" s="15">
        <v>1987</v>
      </c>
      <c r="E81" s="15"/>
      <c r="F81" s="15">
        <f>F80+Budget233[[#This Row],[ENTRATE]]-Budget233[[#This Row],[USCITE]]</f>
        <v>2382.58</v>
      </c>
    </row>
    <row r="82" spans="1:6" x14ac:dyDescent="0.25">
      <c r="A82" s="12">
        <v>45425</v>
      </c>
      <c r="B82" s="13" t="str">
        <f>TEXT(Budget233[[#This Row],[DATA]],"mmmm")&amp;" "&amp;TEXT(Budget233[[#This Row],[DATA]],"aaaa")</f>
        <v>maggio 2024</v>
      </c>
      <c r="C82" s="14" t="s">
        <v>11</v>
      </c>
      <c r="D82" s="15"/>
      <c r="E82" s="15">
        <f>500+10</f>
        <v>510</v>
      </c>
      <c r="F82" s="15">
        <f>F81+Budget233[[#This Row],[ENTRATE]]-Budget233[[#This Row],[USCITE]]</f>
        <v>1872.58</v>
      </c>
    </row>
    <row r="83" spans="1:6" x14ac:dyDescent="0.25">
      <c r="A83" s="12">
        <v>45425</v>
      </c>
      <c r="B83" s="13" t="str">
        <f>TEXT(Budget233[[#This Row],[DATA]],"mmmm")&amp;" "&amp;TEXT(Budget233[[#This Row],[DATA]],"aaaa")</f>
        <v>maggio 2024</v>
      </c>
      <c r="C83" s="14" t="s">
        <v>25</v>
      </c>
      <c r="D83" s="15"/>
      <c r="E83" s="15">
        <v>268.89999999999998</v>
      </c>
      <c r="F83" s="15">
        <f>F82+Budget233[[#This Row],[ENTRATE]]-Budget233[[#This Row],[USCITE]]</f>
        <v>1603.6799999999998</v>
      </c>
    </row>
    <row r="84" spans="1:6" x14ac:dyDescent="0.25">
      <c r="A84" s="12">
        <v>45427</v>
      </c>
      <c r="B84" s="13" t="str">
        <f>TEXT(Budget233[[#This Row],[DATA]],"mmmm")&amp;" "&amp;TEXT(Budget233[[#This Row],[DATA]],"aaaa")</f>
        <v>maggio 2024</v>
      </c>
      <c r="C84" s="14" t="s">
        <v>9</v>
      </c>
      <c r="D84" s="15"/>
      <c r="E84" s="15">
        <f>250+12</f>
        <v>262</v>
      </c>
      <c r="F84" s="15">
        <f>F83+Budget233[[#This Row],[ENTRATE]]-Budget233[[#This Row],[USCITE]]</f>
        <v>1341.6799999999998</v>
      </c>
    </row>
    <row r="85" spans="1:6" x14ac:dyDescent="0.25">
      <c r="A85" s="12">
        <v>45427</v>
      </c>
      <c r="B85" s="13" t="str">
        <f>TEXT(Budget233[[#This Row],[DATA]],"mmmm")&amp;" "&amp;TEXT(Budget233[[#This Row],[DATA]],"aaaa")</f>
        <v>maggio 2024</v>
      </c>
      <c r="C85" s="14" t="s">
        <v>70</v>
      </c>
      <c r="D85" s="15"/>
      <c r="E85" s="15">
        <v>79.02</v>
      </c>
      <c r="F85" s="15">
        <f>F84+Budget233[[#This Row],[ENTRATE]]-Budget233[[#This Row],[USCITE]]</f>
        <v>1262.6599999999999</v>
      </c>
    </row>
    <row r="86" spans="1:6" x14ac:dyDescent="0.25">
      <c r="A86" s="12">
        <v>45427</v>
      </c>
      <c r="B86" s="13" t="str">
        <f>TEXT(Budget233[[#This Row],[DATA]],"mmmm")&amp;" "&amp;TEXT(Budget233[[#This Row],[DATA]],"aaaa")</f>
        <v>maggio 2024</v>
      </c>
      <c r="C86" s="14" t="s">
        <v>7</v>
      </c>
      <c r="D86" s="15"/>
      <c r="E86" s="15">
        <v>28</v>
      </c>
      <c r="F86" s="15">
        <f>F85+Budget233[[#This Row],[ENTRATE]]-Budget233[[#This Row],[USCITE]]</f>
        <v>1234.6599999999999</v>
      </c>
    </row>
    <row r="87" spans="1:6" x14ac:dyDescent="0.25">
      <c r="A87" s="12">
        <v>45427</v>
      </c>
      <c r="B87" s="13" t="str">
        <f>TEXT(Budget233[[#This Row],[DATA]],"mmmm")&amp;" "&amp;TEXT(Budget233[[#This Row],[DATA]],"aaaa")</f>
        <v>maggio 2024</v>
      </c>
      <c r="C87" s="14" t="s">
        <v>12</v>
      </c>
      <c r="D87" s="15"/>
      <c r="E87" s="15">
        <v>10</v>
      </c>
      <c r="F87" s="15">
        <f>F86+Budget233[[#This Row],[ENTRATE]]-Budget233[[#This Row],[USCITE]]</f>
        <v>1224.6599999999999</v>
      </c>
    </row>
    <row r="88" spans="1:6" x14ac:dyDescent="0.25">
      <c r="A88" s="12">
        <v>45427</v>
      </c>
      <c r="B88" s="13" t="str">
        <f>TEXT(Budget233[[#This Row],[DATA]],"mmmm")&amp;" "&amp;TEXT(Budget233[[#This Row],[DATA]],"aaaa")</f>
        <v>maggio 2024</v>
      </c>
      <c r="C88" s="14" t="s">
        <v>26</v>
      </c>
      <c r="D88" s="15"/>
      <c r="E88" s="15">
        <v>47.64</v>
      </c>
      <c r="F88" s="15">
        <f>F87+Budget233[[#This Row],[ENTRATE]]-Budget233[[#This Row],[USCITE]]</f>
        <v>1177.0199999999998</v>
      </c>
    </row>
    <row r="89" spans="1:6" x14ac:dyDescent="0.25">
      <c r="A89" s="12">
        <v>45427</v>
      </c>
      <c r="B89" s="13" t="str">
        <f>TEXT(Budget233[[#This Row],[DATA]],"mmmm")&amp;" "&amp;TEXT(Budget233[[#This Row],[DATA]],"aaaa")</f>
        <v>maggio 2024</v>
      </c>
      <c r="C89" s="14" t="s">
        <v>26</v>
      </c>
      <c r="D89" s="15"/>
      <c r="E89" s="15">
        <v>59.99</v>
      </c>
      <c r="F89" s="15">
        <f>F88+Budget233[[#This Row],[ENTRATE]]-Budget233[[#This Row],[USCITE]]</f>
        <v>1117.0299999999997</v>
      </c>
    </row>
    <row r="90" spans="1:6" x14ac:dyDescent="0.25">
      <c r="A90" s="12">
        <v>45427</v>
      </c>
      <c r="B90" s="13" t="str">
        <f>TEXT(Budget233[[#This Row],[DATA]],"mmmm")&amp;" "&amp;TEXT(Budget233[[#This Row],[DATA]],"aaaa")</f>
        <v>maggio 2024</v>
      </c>
      <c r="C90" s="14" t="s">
        <v>21</v>
      </c>
      <c r="D90" s="15"/>
      <c r="E90" s="15">
        <v>80.099999999999994</v>
      </c>
      <c r="F90" s="15">
        <f>F89+Budget233[[#This Row],[ENTRATE]]-Budget233[[#This Row],[USCITE]]</f>
        <v>1036.9299999999998</v>
      </c>
    </row>
    <row r="91" spans="1:6" x14ac:dyDescent="0.25">
      <c r="A91" s="12">
        <v>45427</v>
      </c>
      <c r="B91" s="13" t="str">
        <f>TEXT(Budget233[[#This Row],[DATA]],"mmmm")&amp;" "&amp;TEXT(Budget233[[#This Row],[DATA]],"aaaa")</f>
        <v>maggio 2024</v>
      </c>
      <c r="C91" s="14" t="s">
        <v>104</v>
      </c>
      <c r="D91" s="15"/>
      <c r="E91" s="15">
        <v>26.7</v>
      </c>
      <c r="F91" s="15">
        <f>F90+Budget233[[#This Row],[ENTRATE]]-Budget233[[#This Row],[USCITE]]</f>
        <v>1010.2299999999998</v>
      </c>
    </row>
    <row r="92" spans="1:6" x14ac:dyDescent="0.25">
      <c r="A92" s="12">
        <v>45427</v>
      </c>
      <c r="B92" s="13" t="str">
        <f>TEXT(Budget233[[#This Row],[DATA]],"mmmm")&amp;" "&amp;TEXT(Budget233[[#This Row],[DATA]],"aaaa")</f>
        <v>maggio 2024</v>
      </c>
      <c r="C92" s="14" t="s">
        <v>101</v>
      </c>
      <c r="D92" s="15"/>
      <c r="E92" s="15">
        <v>36</v>
      </c>
      <c r="F92" s="15">
        <f>F91+Budget233[[#This Row],[ENTRATE]]-Budget233[[#This Row],[USCITE]]</f>
        <v>974.22999999999979</v>
      </c>
    </row>
    <row r="93" spans="1:6" x14ac:dyDescent="0.25">
      <c r="A93" s="12">
        <v>45427</v>
      </c>
      <c r="B93" s="13" t="str">
        <f>TEXT(Budget233[[#This Row],[DATA]],"mmmm")&amp;" "&amp;TEXT(Budget233[[#This Row],[DATA]],"aaaa")</f>
        <v>maggio 2024</v>
      </c>
      <c r="C93" s="14" t="s">
        <v>16</v>
      </c>
      <c r="D93" s="15"/>
      <c r="E93" s="15">
        <v>16.14</v>
      </c>
      <c r="F93" s="15">
        <f>F92+Budget233[[#This Row],[ENTRATE]]-Budget233[[#This Row],[USCITE]]</f>
        <v>958.0899999999998</v>
      </c>
    </row>
    <row r="94" spans="1:6" x14ac:dyDescent="0.25">
      <c r="A94" s="12">
        <v>45427</v>
      </c>
      <c r="B94" s="13" t="str">
        <f>TEXT(Budget233[[#This Row],[DATA]],"mmmm")&amp;" "&amp;TEXT(Budget233[[#This Row],[DATA]],"aaaa")</f>
        <v>maggio 2024</v>
      </c>
      <c r="C94" s="14" t="s">
        <v>106</v>
      </c>
      <c r="D94" s="15"/>
      <c r="E94" s="15">
        <v>17</v>
      </c>
      <c r="F94" s="15">
        <f>F93+Budget233[[#This Row],[ENTRATE]]-Budget233[[#This Row],[USCITE]]</f>
        <v>941.0899999999998</v>
      </c>
    </row>
    <row r="95" spans="1:6" x14ac:dyDescent="0.25">
      <c r="A95" s="12">
        <v>45427</v>
      </c>
      <c r="B95" s="13" t="str">
        <f>TEXT(Budget233[[#This Row],[DATA]],"mmmm")&amp;" "&amp;TEXT(Budget233[[#This Row],[DATA]],"aaaa")</f>
        <v>maggio 2024</v>
      </c>
      <c r="C95" s="14" t="s">
        <v>26</v>
      </c>
      <c r="D95" s="15"/>
      <c r="E95" s="15">
        <v>26.92</v>
      </c>
      <c r="F95" s="15">
        <f>F94+Budget233[[#This Row],[ENTRATE]]-Budget233[[#This Row],[USCITE]]</f>
        <v>914.16999999999985</v>
      </c>
    </row>
    <row r="96" spans="1:6" x14ac:dyDescent="0.25">
      <c r="A96" s="12">
        <v>45427</v>
      </c>
      <c r="B96" s="13" t="str">
        <f>TEXT(Budget233[[#This Row],[DATA]],"mmmm")&amp;" "&amp;TEXT(Budget233[[#This Row],[DATA]],"aaaa")</f>
        <v>maggio 2024</v>
      </c>
      <c r="C96" s="14" t="s">
        <v>26</v>
      </c>
      <c r="D96" s="15"/>
      <c r="E96" s="15">
        <v>59.99</v>
      </c>
      <c r="F96" s="15">
        <f>F95+Budget233[[#This Row],[ENTRATE]]-Budget233[[#This Row],[USCITE]]</f>
        <v>854.17999999999984</v>
      </c>
    </row>
    <row r="97" spans="1:6" x14ac:dyDescent="0.25">
      <c r="A97" s="12">
        <v>45427</v>
      </c>
      <c r="B97" s="13" t="str">
        <f>TEXT(Budget233[[#This Row],[DATA]],"mmmm")&amp;" "&amp;TEXT(Budget233[[#This Row],[DATA]],"aaaa")</f>
        <v>maggio 2024</v>
      </c>
      <c r="C97" s="14" t="s">
        <v>107</v>
      </c>
      <c r="D97" s="15"/>
      <c r="E97" s="15">
        <v>21.92</v>
      </c>
      <c r="F97" s="15">
        <f>F96+Budget233[[#This Row],[ENTRATE]]-Budget233[[#This Row],[USCITE]]</f>
        <v>832.25999999999988</v>
      </c>
    </row>
    <row r="98" spans="1:6" x14ac:dyDescent="0.25">
      <c r="A98" s="12">
        <v>45427</v>
      </c>
      <c r="B98" s="13" t="str">
        <f>TEXT(Budget233[[#This Row],[DATA]],"mmmm")&amp;" "&amp;TEXT(Budget233[[#This Row],[DATA]],"aaaa")</f>
        <v>maggio 2024</v>
      </c>
      <c r="C98" s="14" t="s">
        <v>14</v>
      </c>
      <c r="D98" s="15"/>
      <c r="E98" s="15">
        <v>45.98</v>
      </c>
      <c r="F98" s="15">
        <f>F97+Budget233[[#This Row],[ENTRATE]]-Budget233[[#This Row],[USCITE]]</f>
        <v>786.27999999999986</v>
      </c>
    </row>
    <row r="99" spans="1:6" x14ac:dyDescent="0.25">
      <c r="A99" s="12">
        <v>45427</v>
      </c>
      <c r="B99" s="13" t="str">
        <f>TEXT(Budget233[[#This Row],[DATA]],"mmmm")&amp;" "&amp;TEXT(Budget233[[#This Row],[DATA]],"aaaa")</f>
        <v>maggio 2024</v>
      </c>
      <c r="C99" s="14" t="s">
        <v>7</v>
      </c>
      <c r="D99" s="15"/>
      <c r="E99" s="15">
        <v>28</v>
      </c>
      <c r="F99" s="15">
        <f>F98+Budget233[[#This Row],[ENTRATE]]-Budget233[[#This Row],[USCITE]]</f>
        <v>758.27999999999986</v>
      </c>
    </row>
    <row r="100" spans="1:6" x14ac:dyDescent="0.25">
      <c r="A100" s="12">
        <v>45427</v>
      </c>
      <c r="B100" s="13" t="str">
        <f>TEXT(Budget233[[#This Row],[DATA]],"mmmm")&amp;" "&amp;TEXT(Budget233[[#This Row],[DATA]],"aaaa")</f>
        <v>maggio 2024</v>
      </c>
      <c r="C100" s="14" t="s">
        <v>108</v>
      </c>
      <c r="D100" s="15"/>
      <c r="E100" s="15">
        <v>136.47999999999999</v>
      </c>
      <c r="F100" s="15">
        <f>F99+Budget233[[#This Row],[ENTRATE]]-Budget233[[#This Row],[USCITE]]</f>
        <v>621.79999999999984</v>
      </c>
    </row>
    <row r="101" spans="1:6" x14ac:dyDescent="0.25">
      <c r="A101" s="12">
        <v>45427</v>
      </c>
      <c r="B101" s="13" t="str">
        <f>TEXT(Budget233[[#This Row],[DATA]],"mmmm")&amp;" "&amp;TEXT(Budget233[[#This Row],[DATA]],"aaaa")</f>
        <v>maggio 2024</v>
      </c>
      <c r="C101" s="14" t="s">
        <v>109</v>
      </c>
      <c r="D101" s="15"/>
      <c r="E101" s="15">
        <v>74</v>
      </c>
      <c r="F101" s="15">
        <f>F100+Budget233[[#This Row],[ENTRATE]]-Budget233[[#This Row],[USCITE]]</f>
        <v>547.79999999999984</v>
      </c>
    </row>
    <row r="102" spans="1:6" x14ac:dyDescent="0.25">
      <c r="A102" s="12">
        <v>45427</v>
      </c>
      <c r="B102" s="13" t="str">
        <f>TEXT(Budget233[[#This Row],[DATA]],"mmmm")&amp;" "&amp;TEXT(Budget233[[#This Row],[DATA]],"aaaa")</f>
        <v>maggio 2024</v>
      </c>
      <c r="C102" s="14" t="s">
        <v>13</v>
      </c>
      <c r="D102" s="15"/>
      <c r="E102" s="15">
        <v>4.25</v>
      </c>
      <c r="F102" s="15">
        <f>F101+Budget233[[#This Row],[ENTRATE]]-Budget233[[#This Row],[USCITE]]</f>
        <v>543.54999999999984</v>
      </c>
    </row>
    <row r="103" spans="1:6" x14ac:dyDescent="0.25">
      <c r="A103" s="12">
        <v>45427</v>
      </c>
      <c r="B103" s="13" t="str">
        <f>TEXT(Budget233[[#This Row],[DATA]],"mmmm")&amp;" "&amp;TEXT(Budget233[[#This Row],[DATA]],"aaaa")</f>
        <v>maggio 2024</v>
      </c>
      <c r="C103" s="14" t="s">
        <v>15</v>
      </c>
      <c r="D103" s="15"/>
      <c r="E103" s="15">
        <v>-415.58</v>
      </c>
      <c r="F103" s="15">
        <f>F102+Budget233[[#This Row],[ENTRATE]]-Budget233[[#This Row],[USCITE]]</f>
        <v>959.12999999999988</v>
      </c>
    </row>
    <row r="104" spans="1:6" x14ac:dyDescent="0.25">
      <c r="A104" s="12">
        <v>45427</v>
      </c>
      <c r="B104" s="13" t="str">
        <f>TEXT(Budget233[[#This Row],[DATA]],"mmmm")&amp;" "&amp;TEXT(Budget233[[#This Row],[DATA]],"aaaa")</f>
        <v>maggio 2024</v>
      </c>
      <c r="C104" s="14" t="s">
        <v>15</v>
      </c>
      <c r="D104" s="15"/>
      <c r="E104" s="15">
        <v>138.53</v>
      </c>
      <c r="F104" s="15">
        <f>F103+Budget233[[#This Row],[ENTRATE]]-Budget233[[#This Row],[USCITE]]</f>
        <v>820.59999999999991</v>
      </c>
    </row>
    <row r="105" spans="1:6" x14ac:dyDescent="0.25">
      <c r="A105" s="12">
        <v>45427</v>
      </c>
      <c r="B105" s="13" t="str">
        <f>TEXT(Budget233[[#This Row],[DATA]],"mmmm")&amp;" "&amp;TEXT(Budget233[[#This Row],[DATA]],"aaaa")</f>
        <v>maggio 2024</v>
      </c>
      <c r="C105" s="14" t="s">
        <v>6</v>
      </c>
      <c r="D105" s="15"/>
      <c r="E105" s="15">
        <f>1.2+2</f>
        <v>3.2</v>
      </c>
      <c r="F105" s="15">
        <f>F104+Budget233[[#This Row],[ENTRATE]]-Budget233[[#This Row],[USCITE]]</f>
        <v>817.39999999999986</v>
      </c>
    </row>
    <row r="106" spans="1:6" x14ac:dyDescent="0.25">
      <c r="A106" s="12">
        <v>45439</v>
      </c>
      <c r="B106" s="13" t="str">
        <f>TEXT(Budget233[[#This Row],[DATA]],"mmmm")&amp;" "&amp;TEXT(Budget233[[#This Row],[DATA]],"aaaa")</f>
        <v>maggio 2024</v>
      </c>
      <c r="C106" s="14" t="s">
        <v>7</v>
      </c>
      <c r="D106" s="15"/>
      <c r="E106" s="15">
        <v>50.01</v>
      </c>
      <c r="F106" s="15">
        <f>F105+Budget233[[#This Row],[ENTRATE]]-Budget233[[#This Row],[USCITE]]</f>
        <v>767.38999999999987</v>
      </c>
    </row>
    <row r="107" spans="1:6" x14ac:dyDescent="0.25">
      <c r="A107" s="12">
        <v>45443</v>
      </c>
      <c r="B107" s="13" t="str">
        <f>TEXT(Budget233[[#This Row],[DATA]],"mmmm")&amp;" "&amp;TEXT(Budget233[[#This Row],[DATA]],"aaaa")</f>
        <v>maggio 2024</v>
      </c>
      <c r="C107" s="14" t="s">
        <v>18</v>
      </c>
      <c r="D107" s="15"/>
      <c r="E107" s="15">
        <v>307.01</v>
      </c>
      <c r="F107" s="15">
        <f>F106+Budget233[[#This Row],[ENTRATE]]-Budget233[[#This Row],[USCITE]]</f>
        <v>460.37999999999988</v>
      </c>
    </row>
    <row r="108" spans="1:6" x14ac:dyDescent="0.25">
      <c r="A108" s="12">
        <v>45446</v>
      </c>
      <c r="B108" s="13" t="str">
        <f>TEXT(Budget233[[#This Row],[DATA]],"mmmm")&amp;" "&amp;TEXT(Budget233[[#This Row],[DATA]],"aaaa")</f>
        <v>giugno 2024</v>
      </c>
      <c r="C108" s="13" t="s">
        <v>9</v>
      </c>
      <c r="D108" s="15"/>
      <c r="E108" s="15">
        <v>50</v>
      </c>
      <c r="F108" s="15">
        <f>F107+Budget233[[#This Row],[ENTRATE]]-Budget233[[#This Row],[USCITE]]</f>
        <v>410.37999999999988</v>
      </c>
    </row>
    <row r="109" spans="1:6" x14ac:dyDescent="0.25">
      <c r="A109" s="12">
        <v>45453</v>
      </c>
      <c r="B109" s="13" t="str">
        <f>TEXT(Budget233[[#This Row],[DATA]],"mmmm")&amp;" "&amp;TEXT(Budget233[[#This Row],[DATA]],"aaaa")</f>
        <v>giugno 2024</v>
      </c>
      <c r="C109" s="13" t="s">
        <v>8</v>
      </c>
      <c r="D109" s="15"/>
      <c r="E109" s="15">
        <v>47.77</v>
      </c>
      <c r="F109" s="15">
        <f>F108+Budget233[[#This Row],[ENTRATE]]-Budget233[[#This Row],[USCITE]]</f>
        <v>362.6099999999999</v>
      </c>
    </row>
    <row r="110" spans="1:6" x14ac:dyDescent="0.25">
      <c r="A110" s="12">
        <v>45454</v>
      </c>
      <c r="B110" s="13" t="str">
        <f>TEXT(Budget233[[#This Row],[DATA]],"mmmm")&amp;" "&amp;TEXT(Budget233[[#This Row],[DATA]],"aaaa")</f>
        <v>giugno 2024</v>
      </c>
      <c r="C110" s="14" t="s">
        <v>110</v>
      </c>
      <c r="D110" s="15">
        <v>10010</v>
      </c>
      <c r="E110" s="15"/>
      <c r="F110" s="15">
        <f>F109+Budget233[[#This Row],[ENTRATE]]-Budget233[[#This Row],[USCITE]]</f>
        <v>10372.61</v>
      </c>
    </row>
    <row r="111" spans="1:6" x14ac:dyDescent="0.25">
      <c r="A111" s="12">
        <v>45454</v>
      </c>
      <c r="B111" s="13" t="str">
        <f>TEXT(Budget233[[#This Row],[DATA]],"mmmm")&amp;" "&amp;TEXT(Budget233[[#This Row],[DATA]],"aaaa")</f>
        <v>giugno 2024</v>
      </c>
      <c r="C111" s="14" t="s">
        <v>10</v>
      </c>
      <c r="D111" s="15">
        <v>1816</v>
      </c>
      <c r="E111" s="15"/>
      <c r="F111" s="15">
        <f>F110+Budget233[[#This Row],[ENTRATE]]-Budget233[[#This Row],[USCITE]]</f>
        <v>12188.61</v>
      </c>
    </row>
    <row r="112" spans="1:6" x14ac:dyDescent="0.25">
      <c r="A112" s="12">
        <v>45454</v>
      </c>
      <c r="B112" s="13" t="str">
        <f>TEXT(Budget233[[#This Row],[DATA]],"mmmm")&amp;" "&amp;TEXT(Budget233[[#This Row],[DATA]],"aaaa")</f>
        <v>giugno 2024</v>
      </c>
      <c r="C112" s="14" t="s">
        <v>11</v>
      </c>
      <c r="D112" s="15"/>
      <c r="E112" s="15">
        <f>5000+0.5</f>
        <v>5000.5</v>
      </c>
      <c r="F112" s="15">
        <f>F111+Budget233[[#This Row],[ENTRATE]]-Budget233[[#This Row],[USCITE]]</f>
        <v>7188.1100000000006</v>
      </c>
    </row>
    <row r="113" spans="1:6" x14ac:dyDescent="0.25">
      <c r="A113" s="12">
        <v>45458</v>
      </c>
      <c r="B113" s="13" t="str">
        <f>TEXT(Budget233[[#This Row],[DATA]],"mmmm")&amp;" "&amp;TEXT(Budget233[[#This Row],[DATA]],"aaaa")</f>
        <v>giugno 2024</v>
      </c>
      <c r="C113" s="14" t="s">
        <v>24</v>
      </c>
      <c r="D113" s="15"/>
      <c r="E113" s="15">
        <v>57</v>
      </c>
      <c r="F113" s="15">
        <f>F112+Budget233[[#This Row],[ENTRATE]]-Budget233[[#This Row],[USCITE]]</f>
        <v>7131.1100000000006</v>
      </c>
    </row>
    <row r="114" spans="1:6" x14ac:dyDescent="0.25">
      <c r="A114" s="12">
        <v>45458</v>
      </c>
      <c r="B114" s="13" t="str">
        <f>TEXT(Budget233[[#This Row],[DATA]],"mmmm")&amp;" "&amp;TEXT(Budget233[[#This Row],[DATA]],"aaaa")</f>
        <v>giugno 2024</v>
      </c>
      <c r="C114" s="14" t="s">
        <v>28</v>
      </c>
      <c r="D114" s="15"/>
      <c r="E114" s="15">
        <v>56.07</v>
      </c>
      <c r="F114" s="15">
        <f>F113+Budget233[[#This Row],[ENTRATE]]-Budget233[[#This Row],[USCITE]]</f>
        <v>7075.0400000000009</v>
      </c>
    </row>
    <row r="115" spans="1:6" x14ac:dyDescent="0.25">
      <c r="A115" s="12">
        <v>45458</v>
      </c>
      <c r="B115" s="13" t="str">
        <f>TEXT(Budget233[[#This Row],[DATA]],"mmmm")&amp;" "&amp;TEXT(Budget233[[#This Row],[DATA]],"aaaa")</f>
        <v>giugno 2024</v>
      </c>
      <c r="C115" s="14" t="s">
        <v>111</v>
      </c>
      <c r="D115" s="15"/>
      <c r="E115" s="15">
        <v>145</v>
      </c>
      <c r="F115" s="15">
        <f>F114+Budget233[[#This Row],[ENTRATE]]-Budget233[[#This Row],[USCITE]]</f>
        <v>6930.0400000000009</v>
      </c>
    </row>
    <row r="116" spans="1:6" x14ac:dyDescent="0.25">
      <c r="A116" s="12">
        <v>45458</v>
      </c>
      <c r="B116" s="13" t="str">
        <f>TEXT(Budget233[[#This Row],[DATA]],"mmmm")&amp;" "&amp;TEXT(Budget233[[#This Row],[DATA]],"aaaa")</f>
        <v>giugno 2024</v>
      </c>
      <c r="C116" s="14" t="s">
        <v>47</v>
      </c>
      <c r="D116" s="15"/>
      <c r="E116" s="15">
        <v>50</v>
      </c>
      <c r="F116" s="15">
        <f>F115+Budget233[[#This Row],[ENTRATE]]-Budget233[[#This Row],[USCITE]]</f>
        <v>6880.0400000000009</v>
      </c>
    </row>
    <row r="117" spans="1:6" x14ac:dyDescent="0.25">
      <c r="A117" s="12">
        <v>45458</v>
      </c>
      <c r="B117" s="13" t="str">
        <f>TEXT(Budget233[[#This Row],[DATA]],"mmmm")&amp;" "&amp;TEXT(Budget233[[#This Row],[DATA]],"aaaa")</f>
        <v>giugno 2024</v>
      </c>
      <c r="C117" s="14" t="s">
        <v>7</v>
      </c>
      <c r="D117" s="15"/>
      <c r="E117" s="15">
        <v>27.4</v>
      </c>
      <c r="F117" s="15">
        <f>F116+Budget233[[#This Row],[ENTRATE]]-Budget233[[#This Row],[USCITE]]</f>
        <v>6852.6400000000012</v>
      </c>
    </row>
    <row r="118" spans="1:6" x14ac:dyDescent="0.25">
      <c r="A118" s="12">
        <v>45458</v>
      </c>
      <c r="B118" s="13" t="str">
        <f>TEXT(Budget233[[#This Row],[DATA]],"mmmm")&amp;" "&amp;TEXT(Budget233[[#This Row],[DATA]],"aaaa")</f>
        <v>giugno 2024</v>
      </c>
      <c r="C118" s="14" t="s">
        <v>61</v>
      </c>
      <c r="D118" s="15"/>
      <c r="E118" s="15">
        <v>29.44</v>
      </c>
      <c r="F118" s="15">
        <f>F117+Budget233[[#This Row],[ENTRATE]]-Budget233[[#This Row],[USCITE]]</f>
        <v>6823.2000000000016</v>
      </c>
    </row>
    <row r="119" spans="1:6" x14ac:dyDescent="0.25">
      <c r="A119" s="12">
        <v>45458</v>
      </c>
      <c r="B119" s="13" t="str">
        <f>TEXT(Budget233[[#This Row],[DATA]],"mmmm")&amp;" "&amp;TEXT(Budget233[[#This Row],[DATA]],"aaaa")</f>
        <v>giugno 2024</v>
      </c>
      <c r="C119" s="14" t="s">
        <v>16</v>
      </c>
      <c r="D119" s="15"/>
      <c r="E119" s="15">
        <v>62.28</v>
      </c>
      <c r="F119" s="15">
        <f>F118+Budget233[[#This Row],[ENTRATE]]-Budget233[[#This Row],[USCITE]]</f>
        <v>6760.9200000000019</v>
      </c>
    </row>
    <row r="120" spans="1:6" x14ac:dyDescent="0.25">
      <c r="A120" s="12">
        <v>45458</v>
      </c>
      <c r="B120" s="13" t="str">
        <f>TEXT(Budget233[[#This Row],[DATA]],"mmmm")&amp;" "&amp;TEXT(Budget233[[#This Row],[DATA]],"aaaa")</f>
        <v>giugno 2024</v>
      </c>
      <c r="C120" s="14" t="s">
        <v>28</v>
      </c>
      <c r="D120" s="15"/>
      <c r="E120" s="15">
        <v>29.18</v>
      </c>
      <c r="F120" s="15">
        <f>F119+Budget233[[#This Row],[ENTRATE]]-Budget233[[#This Row],[USCITE]]</f>
        <v>6731.7400000000016</v>
      </c>
    </row>
    <row r="121" spans="1:6" x14ac:dyDescent="0.25">
      <c r="A121" s="12">
        <v>45458</v>
      </c>
      <c r="B121" s="13" t="str">
        <f>TEXT(Budget233[[#This Row],[DATA]],"mmmm")&amp;" "&amp;TEXT(Budget233[[#This Row],[DATA]],"aaaa")</f>
        <v>giugno 2024</v>
      </c>
      <c r="C121" s="14" t="s">
        <v>7</v>
      </c>
      <c r="D121" s="15"/>
      <c r="E121" s="15">
        <v>27.6</v>
      </c>
      <c r="F121" s="15">
        <f>F120+Budget233[[#This Row],[ENTRATE]]-Budget233[[#This Row],[USCITE]]</f>
        <v>6704.1400000000012</v>
      </c>
    </row>
    <row r="122" spans="1:6" x14ac:dyDescent="0.25">
      <c r="A122" s="12">
        <v>45458</v>
      </c>
      <c r="B122" s="13" t="str">
        <f>TEXT(Budget233[[#This Row],[DATA]],"mmmm")&amp;" "&amp;TEXT(Budget233[[#This Row],[DATA]],"aaaa")</f>
        <v>giugno 2024</v>
      </c>
      <c r="C122" s="14" t="s">
        <v>12</v>
      </c>
      <c r="D122" s="15"/>
      <c r="E122" s="15">
        <v>10</v>
      </c>
      <c r="F122" s="15">
        <f>F121+Budget233[[#This Row],[ENTRATE]]-Budget233[[#This Row],[USCITE]]</f>
        <v>6694.1400000000012</v>
      </c>
    </row>
    <row r="123" spans="1:6" x14ac:dyDescent="0.25">
      <c r="A123" s="12">
        <v>45458</v>
      </c>
      <c r="B123" s="13" t="str">
        <f>TEXT(Budget233[[#This Row],[DATA]],"mmmm")&amp;" "&amp;TEXT(Budget233[[#This Row],[DATA]],"aaaa")</f>
        <v>giugno 2024</v>
      </c>
      <c r="C123" s="14" t="s">
        <v>16</v>
      </c>
      <c r="D123" s="15"/>
      <c r="E123" s="15">
        <v>77.61</v>
      </c>
      <c r="F123" s="15">
        <f>F122+Budget233[[#This Row],[ENTRATE]]-Budget233[[#This Row],[USCITE]]</f>
        <v>6616.5300000000016</v>
      </c>
    </row>
    <row r="124" spans="1:6" x14ac:dyDescent="0.25">
      <c r="A124" s="12">
        <v>45458</v>
      </c>
      <c r="B124" s="13" t="str">
        <f>TEXT(Budget233[[#This Row],[DATA]],"mmmm")&amp;" "&amp;TEXT(Budget233[[#This Row],[DATA]],"aaaa")</f>
        <v>giugno 2024</v>
      </c>
      <c r="C124" s="14" t="s">
        <v>112</v>
      </c>
      <c r="D124" s="15"/>
      <c r="E124" s="15">
        <v>51</v>
      </c>
      <c r="F124" s="15">
        <f>F123+Budget233[[#This Row],[ENTRATE]]-Budget233[[#This Row],[USCITE]]</f>
        <v>6565.5300000000016</v>
      </c>
    </row>
    <row r="125" spans="1:6" x14ac:dyDescent="0.25">
      <c r="A125" s="12">
        <v>45458</v>
      </c>
      <c r="B125" s="13" t="str">
        <f>TEXT(Budget233[[#This Row],[DATA]],"mmmm")&amp;" "&amp;TEXT(Budget233[[#This Row],[DATA]],"aaaa")</f>
        <v>giugno 2024</v>
      </c>
      <c r="C125" s="14" t="s">
        <v>113</v>
      </c>
      <c r="D125" s="15"/>
      <c r="E125" s="15">
        <v>15</v>
      </c>
      <c r="F125" s="15">
        <f>F124+Budget233[[#This Row],[ENTRATE]]-Budget233[[#This Row],[USCITE]]</f>
        <v>6550.5300000000016</v>
      </c>
    </row>
    <row r="126" spans="1:6" x14ac:dyDescent="0.25">
      <c r="A126" s="12">
        <v>45458</v>
      </c>
      <c r="B126" s="13" t="str">
        <f>TEXT(Budget233[[#This Row],[DATA]],"mmmm")&amp;" "&amp;TEXT(Budget233[[#This Row],[DATA]],"aaaa")</f>
        <v>giugno 2024</v>
      </c>
      <c r="C126" s="14" t="s">
        <v>7</v>
      </c>
      <c r="D126" s="15"/>
      <c r="E126" s="15">
        <v>22.81</v>
      </c>
      <c r="F126" s="15">
        <f>F125+Budget233[[#This Row],[ENTRATE]]-Budget233[[#This Row],[USCITE]]</f>
        <v>6527.7200000000012</v>
      </c>
    </row>
    <row r="127" spans="1:6" x14ac:dyDescent="0.25">
      <c r="A127" s="12">
        <v>45458</v>
      </c>
      <c r="B127" s="13" t="str">
        <f>TEXT(Budget233[[#This Row],[DATA]],"mmmm")&amp;" "&amp;TEXT(Budget233[[#This Row],[DATA]],"aaaa")</f>
        <v>giugno 2024</v>
      </c>
      <c r="C127" s="14" t="s">
        <v>28</v>
      </c>
      <c r="D127" s="15"/>
      <c r="E127" s="15">
        <v>8.43</v>
      </c>
      <c r="F127" s="15">
        <f>F126+Budget233[[#This Row],[ENTRATE]]-Budget233[[#This Row],[USCITE]]</f>
        <v>6519.2900000000009</v>
      </c>
    </row>
    <row r="128" spans="1:6" x14ac:dyDescent="0.25">
      <c r="A128" s="12">
        <v>45458</v>
      </c>
      <c r="B128" s="13" t="str">
        <f>TEXT(Budget233[[#This Row],[DATA]],"mmmm")&amp;" "&amp;TEXT(Budget233[[#This Row],[DATA]],"aaaa")</f>
        <v>giugno 2024</v>
      </c>
      <c r="C128" s="14" t="s">
        <v>13</v>
      </c>
      <c r="D128" s="15"/>
      <c r="E128" s="15">
        <v>4.25</v>
      </c>
      <c r="F128" s="15">
        <f>F127+Budget233[[#This Row],[ENTRATE]]-Budget233[[#This Row],[USCITE]]</f>
        <v>6515.0400000000009</v>
      </c>
    </row>
    <row r="129" spans="1:6" x14ac:dyDescent="0.25">
      <c r="A129" s="12">
        <v>45458</v>
      </c>
      <c r="B129" s="13" t="str">
        <f>TEXT(Budget233[[#This Row],[DATA]],"mmmm")&amp;" "&amp;TEXT(Budget233[[#This Row],[DATA]],"aaaa")</f>
        <v>giugno 2024</v>
      </c>
      <c r="C129" s="14" t="s">
        <v>47</v>
      </c>
      <c r="D129" s="15"/>
      <c r="E129" s="15">
        <v>50</v>
      </c>
      <c r="F129" s="15">
        <f>F128+Budget233[[#This Row],[ENTRATE]]-Budget233[[#This Row],[USCITE]]</f>
        <v>6465.0400000000009</v>
      </c>
    </row>
    <row r="130" spans="1:6" x14ac:dyDescent="0.25">
      <c r="A130" s="12">
        <v>45458</v>
      </c>
      <c r="B130" s="13" t="str">
        <f>TEXT(Budget233[[#This Row],[DATA]],"mmmm")&amp;" "&amp;TEXT(Budget233[[#This Row],[DATA]],"aaaa")</f>
        <v>giugno 2024</v>
      </c>
      <c r="C130" s="14" t="s">
        <v>7</v>
      </c>
      <c r="D130" s="15"/>
      <c r="E130" s="15">
        <v>21.31</v>
      </c>
      <c r="F130" s="15">
        <f>F129+Budget233[[#This Row],[ENTRATE]]-Budget233[[#This Row],[USCITE]]</f>
        <v>6443.7300000000005</v>
      </c>
    </row>
    <row r="131" spans="1:6" x14ac:dyDescent="0.25">
      <c r="A131" s="12">
        <v>45458</v>
      </c>
      <c r="B131" s="13" t="str">
        <f>TEXT(Budget233[[#This Row],[DATA]],"mmmm")&amp;" "&amp;TEXT(Budget233[[#This Row],[DATA]],"aaaa")</f>
        <v>giugno 2024</v>
      </c>
      <c r="C131" s="14" t="s">
        <v>12</v>
      </c>
      <c r="D131" s="15"/>
      <c r="E131" s="15">
        <v>10</v>
      </c>
      <c r="F131" s="15">
        <f>F130+Budget233[[#This Row],[ENTRATE]]-Budget233[[#This Row],[USCITE]]</f>
        <v>6433.7300000000005</v>
      </c>
    </row>
    <row r="132" spans="1:6" x14ac:dyDescent="0.25">
      <c r="A132" s="12">
        <v>45458</v>
      </c>
      <c r="B132" s="13" t="str">
        <f>TEXT(Budget233[[#This Row],[DATA]],"mmmm")&amp;" "&amp;TEXT(Budget233[[#This Row],[DATA]],"aaaa")</f>
        <v>giugno 2024</v>
      </c>
      <c r="C132" s="14" t="s">
        <v>70</v>
      </c>
      <c r="D132" s="15"/>
      <c r="E132" s="15">
        <v>30</v>
      </c>
      <c r="F132" s="15">
        <f>F131+Budget233[[#This Row],[ENTRATE]]-Budget233[[#This Row],[USCITE]]</f>
        <v>6403.7300000000005</v>
      </c>
    </row>
    <row r="133" spans="1:6" x14ac:dyDescent="0.25">
      <c r="A133" s="12">
        <v>45458</v>
      </c>
      <c r="B133" s="13" t="str">
        <f>TEXT(Budget233[[#This Row],[DATA]],"mmmm")&amp;" "&amp;TEXT(Budget233[[#This Row],[DATA]],"aaaa")</f>
        <v>giugno 2024</v>
      </c>
      <c r="C133" s="14" t="s">
        <v>23</v>
      </c>
      <c r="D133" s="15"/>
      <c r="E133" s="15">
        <v>9.6</v>
      </c>
      <c r="F133" s="15">
        <f>F132+Budget233[[#This Row],[ENTRATE]]-Budget233[[#This Row],[USCITE]]</f>
        <v>6394.13</v>
      </c>
    </row>
    <row r="134" spans="1:6" x14ac:dyDescent="0.25">
      <c r="A134" s="12">
        <v>45458</v>
      </c>
      <c r="B134" s="13" t="str">
        <f>TEXT(Budget233[[#This Row],[DATA]],"mmmm")&amp;" "&amp;TEXT(Budget233[[#This Row],[DATA]],"aaaa")</f>
        <v>giugno 2024</v>
      </c>
      <c r="C134" s="14" t="s">
        <v>15</v>
      </c>
      <c r="D134" s="15"/>
      <c r="E134" s="15">
        <v>138.53</v>
      </c>
      <c r="F134" s="15">
        <f>F133+Budget233[[#This Row],[ENTRATE]]-Budget233[[#This Row],[USCITE]]</f>
        <v>6255.6</v>
      </c>
    </row>
    <row r="135" spans="1:6" x14ac:dyDescent="0.25">
      <c r="A135" s="12">
        <v>45458</v>
      </c>
      <c r="B135" s="13" t="str">
        <f>TEXT(Budget233[[#This Row],[DATA]],"mmmm")&amp;" "&amp;TEXT(Budget233[[#This Row],[DATA]],"aaaa")</f>
        <v>giugno 2024</v>
      </c>
      <c r="C135" s="14" t="s">
        <v>6</v>
      </c>
      <c r="D135" s="15"/>
      <c r="E135" s="15">
        <f>1.2+2.4+2</f>
        <v>5.6</v>
      </c>
      <c r="F135" s="15">
        <f>F134+Budget233[[#This Row],[ENTRATE]]-Budget233[[#This Row],[USCITE]]</f>
        <v>6250</v>
      </c>
    </row>
    <row r="136" spans="1:6" x14ac:dyDescent="0.25">
      <c r="A136" s="12">
        <v>45458</v>
      </c>
      <c r="B136" s="13" t="str">
        <f>TEXT(Budget233[[#This Row],[DATA]],"mmmm")&amp;" "&amp;TEXT(Budget233[[#This Row],[DATA]],"aaaa")</f>
        <v>giugno 2024</v>
      </c>
      <c r="C136" s="14" t="s">
        <v>15</v>
      </c>
      <c r="D136" s="15"/>
      <c r="E136" s="15">
        <v>182.99</v>
      </c>
      <c r="F136" s="15">
        <f>F135+Budget233[[#This Row],[ENTRATE]]-Budget233[[#This Row],[USCITE]]</f>
        <v>6067.01</v>
      </c>
    </row>
    <row r="137" spans="1:6" x14ac:dyDescent="0.25">
      <c r="A137" s="12">
        <v>45458</v>
      </c>
      <c r="B137" s="13" t="str">
        <f>TEXT(Budget233[[#This Row],[DATA]],"mmmm")&amp;" "&amp;TEXT(Budget233[[#This Row],[DATA]],"aaaa")</f>
        <v>giugno 2024</v>
      </c>
      <c r="C137" s="14" t="s">
        <v>15</v>
      </c>
      <c r="D137" s="15"/>
      <c r="E137" s="15">
        <v>-548.96</v>
      </c>
      <c r="F137" s="15">
        <f>F136+Budget233[[#This Row],[ENTRATE]]-Budget233[[#This Row],[USCITE]]</f>
        <v>6615.97</v>
      </c>
    </row>
    <row r="138" spans="1:6" x14ac:dyDescent="0.25">
      <c r="A138" s="12">
        <v>45461</v>
      </c>
      <c r="B138" s="13" t="str">
        <f>TEXT(Budget233[[#This Row],[DATA]],"mmmm")&amp;" "&amp;TEXT(Budget233[[#This Row],[DATA]],"aaaa")</f>
        <v>giugno 2024</v>
      </c>
      <c r="C138" s="14" t="s">
        <v>7</v>
      </c>
      <c r="D138" s="15"/>
      <c r="E138" s="15">
        <v>26.95</v>
      </c>
      <c r="F138" s="15">
        <f>F137+Budget233[[#This Row],[ENTRATE]]-Budget233[[#This Row],[USCITE]]</f>
        <v>6589.02</v>
      </c>
    </row>
    <row r="139" spans="1:6" x14ac:dyDescent="0.25">
      <c r="A139" s="12">
        <v>45462</v>
      </c>
      <c r="B139" s="13" t="str">
        <f>TEXT(Budget233[[#This Row],[DATA]],"mmmm")&amp;" "&amp;TEXT(Budget233[[#This Row],[DATA]],"aaaa")</f>
        <v>giugno 2024</v>
      </c>
      <c r="C139" s="14" t="s">
        <v>7</v>
      </c>
      <c r="D139" s="15"/>
      <c r="E139" s="15">
        <v>30</v>
      </c>
      <c r="F139" s="15">
        <f>F138+Budget233[[#This Row],[ENTRATE]]-Budget233[[#This Row],[USCITE]]</f>
        <v>6559.02</v>
      </c>
    </row>
    <row r="140" spans="1:6" x14ac:dyDescent="0.25">
      <c r="A140" s="12">
        <v>45467</v>
      </c>
      <c r="B140" s="13" t="str">
        <f>TEXT(Budget233[[#This Row],[DATA]],"mmmm")&amp;" "&amp;TEXT(Budget233[[#This Row],[DATA]],"aaaa")</f>
        <v>giugno 2024</v>
      </c>
      <c r="C140" s="14" t="s">
        <v>7</v>
      </c>
      <c r="D140" s="15"/>
      <c r="E140" s="15">
        <v>26.9</v>
      </c>
      <c r="F140" s="15">
        <f>F139+Budget233[[#This Row],[ENTRATE]]-Budget233[[#This Row],[USCITE]]</f>
        <v>6532.1200000000008</v>
      </c>
    </row>
    <row r="141" spans="1:6" x14ac:dyDescent="0.25">
      <c r="A141" s="12">
        <v>45470</v>
      </c>
      <c r="B141" s="13" t="str">
        <f>TEXT(Budget233[[#This Row],[DATA]],"mmmm")&amp;" "&amp;TEXT(Budget233[[#This Row],[DATA]],"aaaa")</f>
        <v>giugno 2024</v>
      </c>
      <c r="C141" s="14" t="s">
        <v>9</v>
      </c>
      <c r="D141" s="15"/>
      <c r="E141" s="15">
        <v>250</v>
      </c>
      <c r="F141" s="15">
        <f>F140+Budget233[[#This Row],[ENTRATE]]-Budget233[[#This Row],[USCITE]]</f>
        <v>6282.1200000000008</v>
      </c>
    </row>
    <row r="142" spans="1:6" x14ac:dyDescent="0.25">
      <c r="A142" s="12">
        <v>45470</v>
      </c>
      <c r="B142" s="13" t="str">
        <f>TEXT(Budget233[[#This Row],[DATA]],"mmmm")&amp;" "&amp;TEXT(Budget233[[#This Row],[DATA]],"aaaa")</f>
        <v>giugno 2024</v>
      </c>
      <c r="C142" s="14" t="s">
        <v>7</v>
      </c>
      <c r="D142" s="15"/>
      <c r="E142" s="15">
        <v>15.77</v>
      </c>
      <c r="F142" s="15">
        <f>F141+Budget233[[#This Row],[ENTRATE]]-Budget233[[#This Row],[USCITE]]</f>
        <v>6266.35</v>
      </c>
    </row>
    <row r="143" spans="1:6" x14ac:dyDescent="0.25">
      <c r="A143" s="12">
        <v>45473</v>
      </c>
      <c r="B143" s="13" t="str">
        <f>TEXT(Budget233[[#This Row],[DATA]],"mmmm")&amp;" "&amp;TEXT(Budget233[[#This Row],[DATA]],"aaaa")</f>
        <v>giugno 2024</v>
      </c>
      <c r="C143" s="14" t="s">
        <v>18</v>
      </c>
      <c r="D143" s="15"/>
      <c r="E143" s="15">
        <v>307.01</v>
      </c>
      <c r="F143" s="15">
        <f>F142+Budget233[[#This Row],[ENTRATE]]-Budget233[[#This Row],[USCITE]]</f>
        <v>5959.34</v>
      </c>
    </row>
    <row r="144" spans="1:6" x14ac:dyDescent="0.25">
      <c r="A144" s="12">
        <v>45474</v>
      </c>
      <c r="B144" s="13" t="str">
        <f>TEXT(Budget233[[#This Row],[DATA]],"mmmm")&amp;" "&amp;TEXT(Budget233[[#This Row],[DATA]],"aaaa")</f>
        <v>luglio 2024</v>
      </c>
      <c r="C144" s="13" t="s">
        <v>7</v>
      </c>
      <c r="D144" s="15"/>
      <c r="E144" s="15">
        <v>28.15</v>
      </c>
      <c r="F144" s="15">
        <f>F143+Budget233[[#This Row],[ENTRATE]]-Budget233[[#This Row],[USCITE]]</f>
        <v>5931.1900000000005</v>
      </c>
    </row>
    <row r="145" spans="1:6" x14ac:dyDescent="0.25">
      <c r="A145" s="12">
        <v>45481</v>
      </c>
      <c r="B145" s="13" t="str">
        <f>TEXT(Budget233[[#This Row],[DATA]],"mmmm")&amp;" "&amp;TEXT(Budget233[[#This Row],[DATA]],"aaaa")</f>
        <v>luglio 2024</v>
      </c>
      <c r="C145" s="13" t="s">
        <v>114</v>
      </c>
      <c r="D145" s="15"/>
      <c r="E145" s="15">
        <f>16+6+2.7</f>
        <v>24.7</v>
      </c>
      <c r="F145" s="15">
        <f>F144+Budget233[[#This Row],[ENTRATE]]-Budget233[[#This Row],[USCITE]]</f>
        <v>5906.4900000000007</v>
      </c>
    </row>
    <row r="146" spans="1:6" x14ac:dyDescent="0.25">
      <c r="A146" s="12">
        <v>45481</v>
      </c>
      <c r="B146" s="13" t="str">
        <f>TEXT(Budget233[[#This Row],[DATA]],"mmmm")&amp;" "&amp;TEXT(Budget233[[#This Row],[DATA]],"aaaa")</f>
        <v>luglio 2024</v>
      </c>
      <c r="C146" s="13" t="s">
        <v>8</v>
      </c>
      <c r="D146" s="15"/>
      <c r="E146" s="15">
        <v>47.77</v>
      </c>
      <c r="F146" s="15">
        <f>F145+Budget233[[#This Row],[ENTRATE]]-Budget233[[#This Row],[USCITE]]</f>
        <v>5858.72</v>
      </c>
    </row>
    <row r="147" spans="1:6" x14ac:dyDescent="0.25">
      <c r="A147" s="12">
        <v>45484</v>
      </c>
      <c r="B147" s="13" t="str">
        <f>TEXT(Budget233[[#This Row],[DATA]],"mmmm")&amp;" "&amp;TEXT(Budget233[[#This Row],[DATA]],"aaaa")</f>
        <v>luglio 2024</v>
      </c>
      <c r="C147" s="14" t="s">
        <v>10</v>
      </c>
      <c r="D147" s="15">
        <v>2979</v>
      </c>
      <c r="E147" s="15"/>
      <c r="F147" s="15">
        <f>F146+Budget233[[#This Row],[ENTRATE]]-Budget233[[#This Row],[USCITE]]</f>
        <v>8837.7200000000012</v>
      </c>
    </row>
    <row r="148" spans="1:6" x14ac:dyDescent="0.25">
      <c r="A148" s="12">
        <v>45485</v>
      </c>
      <c r="B148" s="13" t="str">
        <f>TEXT(Budget233[[#This Row],[DATA]],"mmmm")&amp;" "&amp;TEXT(Budget233[[#This Row],[DATA]],"aaaa")</f>
        <v>luglio 2024</v>
      </c>
      <c r="C148" s="14" t="s">
        <v>11</v>
      </c>
      <c r="D148" s="15"/>
      <c r="E148" s="15">
        <v>1500.5</v>
      </c>
      <c r="F148" s="15">
        <f>F147+Budget233[[#This Row],[ENTRATE]]-Budget233[[#This Row],[USCITE]]</f>
        <v>7337.2200000000012</v>
      </c>
    </row>
    <row r="149" spans="1:6" x14ac:dyDescent="0.25">
      <c r="A149" s="12">
        <v>45488</v>
      </c>
      <c r="B149" s="13" t="str">
        <f>TEXT(Budget233[[#This Row],[DATA]],"mmmm")&amp;" "&amp;TEXT(Budget233[[#This Row],[DATA]],"aaaa")</f>
        <v>luglio 2024</v>
      </c>
      <c r="C149" s="14" t="s">
        <v>50</v>
      </c>
      <c r="D149" s="15"/>
      <c r="E149" s="15">
        <v>66.5</v>
      </c>
      <c r="F149" s="15">
        <f>F148+Budget233[[#This Row],[ENTRATE]]-Budget233[[#This Row],[USCITE]]</f>
        <v>7270.7200000000012</v>
      </c>
    </row>
    <row r="150" spans="1:6" x14ac:dyDescent="0.25">
      <c r="A150" s="12">
        <v>45488</v>
      </c>
      <c r="B150" s="13" t="str">
        <f>TEXT(Budget233[[#This Row],[DATA]],"mmmm")&amp;" "&amp;TEXT(Budget233[[#This Row],[DATA]],"aaaa")</f>
        <v>luglio 2024</v>
      </c>
      <c r="C150" s="14" t="s">
        <v>115</v>
      </c>
      <c r="D150" s="15"/>
      <c r="E150" s="15">
        <v>27.7</v>
      </c>
      <c r="F150" s="15">
        <f>F149+Budget233[[#This Row],[ENTRATE]]-Budget233[[#This Row],[USCITE]]</f>
        <v>7243.0200000000013</v>
      </c>
    </row>
    <row r="151" spans="1:6" x14ac:dyDescent="0.25">
      <c r="A151" s="12">
        <v>45488</v>
      </c>
      <c r="B151" s="13" t="str">
        <f>TEXT(Budget233[[#This Row],[DATA]],"mmmm")&amp;" "&amp;TEXT(Budget233[[#This Row],[DATA]],"aaaa")</f>
        <v>luglio 2024</v>
      </c>
      <c r="C151" s="14" t="s">
        <v>112</v>
      </c>
      <c r="D151" s="15"/>
      <c r="E151" s="15">
        <v>32.1</v>
      </c>
      <c r="F151" s="15">
        <f>F150+Budget233[[#This Row],[ENTRATE]]-Budget233[[#This Row],[USCITE]]</f>
        <v>7210.920000000001</v>
      </c>
    </row>
    <row r="152" spans="1:6" x14ac:dyDescent="0.25">
      <c r="A152" s="12">
        <v>45488</v>
      </c>
      <c r="B152" s="13" t="str">
        <f>TEXT(Budget233[[#This Row],[DATA]],"mmmm")&amp;" "&amp;TEXT(Budget233[[#This Row],[DATA]],"aaaa")</f>
        <v>luglio 2024</v>
      </c>
      <c r="C152" s="14" t="s">
        <v>116</v>
      </c>
      <c r="D152" s="15"/>
      <c r="E152" s="15">
        <v>138.88</v>
      </c>
      <c r="F152" s="15">
        <f>F151+Budget233[[#This Row],[ENTRATE]]-Budget233[[#This Row],[USCITE]]</f>
        <v>7072.0400000000009</v>
      </c>
    </row>
    <row r="153" spans="1:6" x14ac:dyDescent="0.25">
      <c r="A153" s="12">
        <v>45488</v>
      </c>
      <c r="B153" s="13" t="str">
        <f>TEXT(Budget233[[#This Row],[DATA]],"mmmm")&amp;" "&amp;TEXT(Budget233[[#This Row],[DATA]],"aaaa")</f>
        <v>luglio 2024</v>
      </c>
      <c r="C153" s="14" t="s">
        <v>14</v>
      </c>
      <c r="D153" s="15"/>
      <c r="E153" s="15">
        <v>30.89</v>
      </c>
      <c r="F153" s="15">
        <f>F152+Budget233[[#This Row],[ENTRATE]]-Budget233[[#This Row],[USCITE]]</f>
        <v>7041.1500000000005</v>
      </c>
    </row>
    <row r="154" spans="1:6" x14ac:dyDescent="0.25">
      <c r="A154" s="12">
        <v>45488</v>
      </c>
      <c r="B154" s="13" t="str">
        <f>TEXT(Budget233[[#This Row],[DATA]],"mmmm")&amp;" "&amp;TEXT(Budget233[[#This Row],[DATA]],"aaaa")</f>
        <v>luglio 2024</v>
      </c>
      <c r="C154" s="14" t="s">
        <v>7</v>
      </c>
      <c r="D154" s="15"/>
      <c r="E154" s="15">
        <v>27.45</v>
      </c>
      <c r="F154" s="15">
        <f>F153+Budget233[[#This Row],[ENTRATE]]-Budget233[[#This Row],[USCITE]]</f>
        <v>7013.7000000000007</v>
      </c>
    </row>
    <row r="155" spans="1:6" x14ac:dyDescent="0.25">
      <c r="A155" s="12">
        <v>45488</v>
      </c>
      <c r="B155" s="13" t="str">
        <f>TEXT(Budget233[[#This Row],[DATA]],"mmmm")&amp;" "&amp;TEXT(Budget233[[#This Row],[DATA]],"aaaa")</f>
        <v>luglio 2024</v>
      </c>
      <c r="C155" s="14" t="s">
        <v>23</v>
      </c>
      <c r="D155" s="15"/>
      <c r="E155" s="15">
        <v>12</v>
      </c>
      <c r="F155" s="15">
        <f>F154+Budget233[[#This Row],[ENTRATE]]-Budget233[[#This Row],[USCITE]]</f>
        <v>7001.7000000000007</v>
      </c>
    </row>
    <row r="156" spans="1:6" x14ac:dyDescent="0.25">
      <c r="A156" s="12">
        <v>45488</v>
      </c>
      <c r="B156" s="13" t="str">
        <f>TEXT(Budget233[[#This Row],[DATA]],"mmmm")&amp;" "&amp;TEXT(Budget233[[#This Row],[DATA]],"aaaa")</f>
        <v>luglio 2024</v>
      </c>
      <c r="C156" s="14" t="s">
        <v>117</v>
      </c>
      <c r="D156" s="15"/>
      <c r="E156" s="15">
        <v>64</v>
      </c>
      <c r="F156" s="15">
        <f>F155+Budget233[[#This Row],[ENTRATE]]-Budget233[[#This Row],[USCITE]]</f>
        <v>6937.7000000000007</v>
      </c>
    </row>
    <row r="157" spans="1:6" x14ac:dyDescent="0.25">
      <c r="A157" s="12">
        <v>45488</v>
      </c>
      <c r="B157" s="13" t="str">
        <f>TEXT(Budget233[[#This Row],[DATA]],"mmmm")&amp;" "&amp;TEXT(Budget233[[#This Row],[DATA]],"aaaa")</f>
        <v>luglio 2024</v>
      </c>
      <c r="C157" s="14" t="s">
        <v>9</v>
      </c>
      <c r="D157" s="15"/>
      <c r="E157" s="15">
        <f>250+12</f>
        <v>262</v>
      </c>
      <c r="F157" s="15">
        <f>F156+Budget233[[#This Row],[ENTRATE]]-Budget233[[#This Row],[USCITE]]</f>
        <v>6675.7000000000007</v>
      </c>
    </row>
    <row r="158" spans="1:6" x14ac:dyDescent="0.25">
      <c r="A158" s="12">
        <v>45488</v>
      </c>
      <c r="B158" s="13" t="str">
        <f>TEXT(Budget233[[#This Row],[DATA]],"mmmm")&amp;" "&amp;TEXT(Budget233[[#This Row],[DATA]],"aaaa")</f>
        <v>luglio 2024</v>
      </c>
      <c r="C158" s="14" t="s">
        <v>118</v>
      </c>
      <c r="D158" s="15"/>
      <c r="E158" s="15">
        <v>75.88</v>
      </c>
      <c r="F158" s="15">
        <f>F157+Budget233[[#This Row],[ENTRATE]]-Budget233[[#This Row],[USCITE]]</f>
        <v>6599.8200000000006</v>
      </c>
    </row>
    <row r="159" spans="1:6" x14ac:dyDescent="0.25">
      <c r="A159" s="12">
        <v>45488</v>
      </c>
      <c r="B159" s="13" t="str">
        <f>TEXT(Budget233[[#This Row],[DATA]],"mmmm")&amp;" "&amp;TEXT(Budget233[[#This Row],[DATA]],"aaaa")</f>
        <v>luglio 2024</v>
      </c>
      <c r="C159" s="14" t="s">
        <v>119</v>
      </c>
      <c r="D159" s="15"/>
      <c r="E159" s="15">
        <v>33</v>
      </c>
      <c r="F159" s="15">
        <f>F158+Budget233[[#This Row],[ENTRATE]]-Budget233[[#This Row],[USCITE]]</f>
        <v>6566.8200000000006</v>
      </c>
    </row>
    <row r="160" spans="1:6" x14ac:dyDescent="0.25">
      <c r="A160" s="12">
        <v>45488</v>
      </c>
      <c r="B160" s="13" t="str">
        <f>TEXT(Budget233[[#This Row],[DATA]],"mmmm")&amp;" "&amp;TEXT(Budget233[[#This Row],[DATA]],"aaaa")</f>
        <v>luglio 2024</v>
      </c>
      <c r="C160" s="14" t="s">
        <v>12</v>
      </c>
      <c r="D160" s="15"/>
      <c r="E160" s="15">
        <v>10</v>
      </c>
      <c r="F160" s="15">
        <f>F159+Budget233[[#This Row],[ENTRATE]]-Budget233[[#This Row],[USCITE]]</f>
        <v>6556.8200000000006</v>
      </c>
    </row>
    <row r="161" spans="1:6" x14ac:dyDescent="0.25">
      <c r="A161" s="12">
        <v>45488</v>
      </c>
      <c r="B161" s="13" t="str">
        <f>TEXT(Budget233[[#This Row],[DATA]],"mmmm")&amp;" "&amp;TEXT(Budget233[[#This Row],[DATA]],"aaaa")</f>
        <v>luglio 2024</v>
      </c>
      <c r="C161" s="14" t="s">
        <v>13</v>
      </c>
      <c r="D161" s="15"/>
      <c r="E161" s="15">
        <v>4.25</v>
      </c>
      <c r="F161" s="15">
        <f>F160+Budget233[[#This Row],[ENTRATE]]-Budget233[[#This Row],[USCITE]]</f>
        <v>6552.5700000000006</v>
      </c>
    </row>
    <row r="162" spans="1:6" x14ac:dyDescent="0.25">
      <c r="A162" s="12">
        <v>45488</v>
      </c>
      <c r="B162" s="13" t="str">
        <f>TEXT(Budget233[[#This Row],[DATA]],"mmmm")&amp;" "&amp;TEXT(Budget233[[#This Row],[DATA]],"aaaa")</f>
        <v>luglio 2024</v>
      </c>
      <c r="C162" s="14" t="s">
        <v>15</v>
      </c>
      <c r="D162" s="15"/>
      <c r="E162" s="15">
        <v>138.52000000000001</v>
      </c>
      <c r="F162" s="15">
        <f>F161+Budget233[[#This Row],[ENTRATE]]-Budget233[[#This Row],[USCITE]]</f>
        <v>6414.05</v>
      </c>
    </row>
    <row r="163" spans="1:6" x14ac:dyDescent="0.25">
      <c r="A163" s="12">
        <v>45488</v>
      </c>
      <c r="B163" s="13" t="str">
        <f>TEXT(Budget233[[#This Row],[DATA]],"mmmm")&amp;" "&amp;TEXT(Budget233[[#This Row],[DATA]],"aaaa")</f>
        <v>luglio 2024</v>
      </c>
      <c r="C163" s="14" t="s">
        <v>15</v>
      </c>
      <c r="D163" s="15"/>
      <c r="E163" s="15">
        <v>182.99</v>
      </c>
      <c r="F163" s="15">
        <f>F162+Budget233[[#This Row],[ENTRATE]]-Budget233[[#This Row],[USCITE]]</f>
        <v>6231.06</v>
      </c>
    </row>
    <row r="164" spans="1:6" x14ac:dyDescent="0.25">
      <c r="A164" s="12">
        <v>45488</v>
      </c>
      <c r="B164" s="13" t="str">
        <f>TEXT(Budget233[[#This Row],[DATA]],"mmmm")&amp;" "&amp;TEXT(Budget233[[#This Row],[DATA]],"aaaa")</f>
        <v>luglio 2024</v>
      </c>
      <c r="C164" s="14" t="s">
        <v>6</v>
      </c>
      <c r="D164" s="15"/>
      <c r="E164" s="15">
        <f>1.2+2.4+2</f>
        <v>5.6</v>
      </c>
      <c r="F164" s="15">
        <f>F163+Budget233[[#This Row],[ENTRATE]]-Budget233[[#This Row],[USCITE]]</f>
        <v>6225.46</v>
      </c>
    </row>
    <row r="165" spans="1:6" x14ac:dyDescent="0.25">
      <c r="A165" s="12">
        <v>45504</v>
      </c>
      <c r="B165" s="13" t="str">
        <f>TEXT(Budget233[[#This Row],[DATA]],"mmmm")&amp;" "&amp;TEXT(Budget233[[#This Row],[DATA]],"aaaa")</f>
        <v>luglio 2024</v>
      </c>
      <c r="C165" s="14" t="s">
        <v>18</v>
      </c>
      <c r="D165" s="15"/>
      <c r="E165" s="15">
        <v>307.01</v>
      </c>
      <c r="F165" s="15">
        <f>F164+Budget233[[#This Row],[ENTRATE]]-Budget233[[#This Row],[USCITE]]</f>
        <v>5918.45</v>
      </c>
    </row>
    <row r="166" spans="1:6" x14ac:dyDescent="0.25">
      <c r="A166" s="12">
        <v>45512</v>
      </c>
      <c r="B166" s="13" t="str">
        <f>TEXT(Budget233[[#This Row],[DATA]],"mmmm")&amp;" "&amp;TEXT(Budget233[[#This Row],[DATA]],"aaaa")</f>
        <v>agosto 2024</v>
      </c>
      <c r="C166" s="13" t="s">
        <v>120</v>
      </c>
      <c r="D166" s="15"/>
      <c r="E166" s="15">
        <v>0</v>
      </c>
      <c r="F166" s="15">
        <v>4487.7</v>
      </c>
    </row>
    <row r="167" spans="1:6" x14ac:dyDescent="0.25">
      <c r="A167" s="12">
        <v>45512</v>
      </c>
      <c r="B167" s="13" t="str">
        <f>TEXT(Budget233[[#This Row],[DATA]],"mmmm")&amp;" "&amp;TEXT(Budget233[[#This Row],[DATA]],"aaaa")</f>
        <v>agosto 2024</v>
      </c>
      <c r="C167" s="14" t="s">
        <v>10</v>
      </c>
      <c r="D167" s="15">
        <v>1831</v>
      </c>
      <c r="E167" s="15"/>
      <c r="F167" s="15">
        <f>F166+Budget233[[#This Row],[ENTRATE]]-Budget233[[#This Row],[USCITE]]</f>
        <v>6318.7</v>
      </c>
    </row>
    <row r="168" spans="1:6" x14ac:dyDescent="0.25">
      <c r="A168" s="12">
        <v>45515</v>
      </c>
      <c r="B168" s="13" t="str">
        <f>TEXT(Budget233[[#This Row],[DATA]],"mmmm")&amp;" "&amp;TEXT(Budget233[[#This Row],[DATA]],"aaaa")</f>
        <v>agosto 2024</v>
      </c>
      <c r="C168" s="14" t="s">
        <v>11</v>
      </c>
      <c r="D168" s="15"/>
      <c r="E168" s="15">
        <v>500.5</v>
      </c>
      <c r="F168" s="15">
        <f>F167+Budget233[[#This Row],[ENTRATE]]-Budget233[[#This Row],[USCITE]]</f>
        <v>5818.2</v>
      </c>
    </row>
    <row r="169" spans="1:6" x14ac:dyDescent="0.25">
      <c r="A169" s="12">
        <v>45517</v>
      </c>
      <c r="B169" s="13" t="str">
        <f>TEXT(Budget233[[#This Row],[DATA]],"mmmm")&amp;" "&amp;TEXT(Budget233[[#This Row],[DATA]],"aaaa")</f>
        <v>agosto 2024</v>
      </c>
      <c r="C169" s="14" t="s">
        <v>7</v>
      </c>
      <c r="D169" s="15"/>
      <c r="E169" s="15">
        <v>50.01</v>
      </c>
      <c r="F169" s="15">
        <f>F168+Budget233[[#This Row],[ENTRATE]]-Budget233[[#This Row],[USCITE]]</f>
        <v>5768.19</v>
      </c>
    </row>
    <row r="170" spans="1:6" x14ac:dyDescent="0.25">
      <c r="A170" s="12">
        <v>45519</v>
      </c>
      <c r="B170" s="13" t="str">
        <f>TEXT(Budget233[[#This Row],[DATA]],"mmmm")&amp;" "&amp;TEXT(Budget233[[#This Row],[DATA]],"aaaa")</f>
        <v>agosto 2024</v>
      </c>
      <c r="C170" s="13" t="s">
        <v>12</v>
      </c>
      <c r="D170" s="15"/>
      <c r="E170" s="15">
        <v>10</v>
      </c>
      <c r="F170" s="15">
        <f>F169+Budget233[[#This Row],[ENTRATE]]-Budget233[[#This Row],[USCITE]]</f>
        <v>5758.19</v>
      </c>
    </row>
    <row r="171" spans="1:6" x14ac:dyDescent="0.25">
      <c r="A171" s="12">
        <v>45519</v>
      </c>
      <c r="B171" s="13" t="str">
        <f>TEXT(Budget233[[#This Row],[DATA]],"mmmm")&amp;" "&amp;TEXT(Budget233[[#This Row],[DATA]],"aaaa")</f>
        <v>agosto 2024</v>
      </c>
      <c r="C171" s="13" t="s">
        <v>7</v>
      </c>
      <c r="D171" s="15"/>
      <c r="E171" s="15">
        <v>27</v>
      </c>
      <c r="F171" s="15">
        <f>F170+Budget233[[#This Row],[ENTRATE]]-Budget233[[#This Row],[USCITE]]</f>
        <v>5731.19</v>
      </c>
    </row>
    <row r="172" spans="1:6" x14ac:dyDescent="0.25">
      <c r="A172" s="12">
        <v>45519</v>
      </c>
      <c r="B172" s="13" t="str">
        <f>TEXT(Budget233[[#This Row],[DATA]],"mmmm")&amp;" "&amp;TEXT(Budget233[[#This Row],[DATA]],"aaaa")</f>
        <v>agosto 2024</v>
      </c>
      <c r="C172" s="13" t="s">
        <v>7</v>
      </c>
      <c r="D172" s="15"/>
      <c r="E172" s="15">
        <v>27.31</v>
      </c>
      <c r="F172" s="15">
        <f>F171+Budget233[[#This Row],[ENTRATE]]-Budget233[[#This Row],[USCITE]]</f>
        <v>5703.8799999999992</v>
      </c>
    </row>
    <row r="173" spans="1:6" x14ac:dyDescent="0.25">
      <c r="A173" s="12">
        <v>45519</v>
      </c>
      <c r="B173" s="13" t="str">
        <f>TEXT(Budget233[[#This Row],[DATA]],"mmmm")&amp;" "&amp;TEXT(Budget233[[#This Row],[DATA]],"aaaa")</f>
        <v>agosto 2024</v>
      </c>
      <c r="C173" s="13" t="s">
        <v>12</v>
      </c>
      <c r="D173" s="15"/>
      <c r="E173" s="15">
        <v>10</v>
      </c>
      <c r="F173" s="15">
        <f>F172+Budget233[[#This Row],[ENTRATE]]-Budget233[[#This Row],[USCITE]]</f>
        <v>5693.8799999999992</v>
      </c>
    </row>
    <row r="174" spans="1:6" x14ac:dyDescent="0.25">
      <c r="A174" s="12">
        <v>45519</v>
      </c>
      <c r="B174" s="13" t="str">
        <f>TEXT(Budget233[[#This Row],[DATA]],"mmmm")&amp;" "&amp;TEXT(Budget233[[#This Row],[DATA]],"aaaa")</f>
        <v>agosto 2024</v>
      </c>
      <c r="C174" s="13" t="s">
        <v>21</v>
      </c>
      <c r="D174" s="15"/>
      <c r="E174" s="15">
        <v>56.45</v>
      </c>
      <c r="F174" s="15">
        <f>F173+Budget233[[#This Row],[ENTRATE]]-Budget233[[#This Row],[USCITE]]</f>
        <v>5637.4299999999994</v>
      </c>
    </row>
    <row r="175" spans="1:6" x14ac:dyDescent="0.25">
      <c r="A175" s="12">
        <v>45519</v>
      </c>
      <c r="B175" s="13" t="str">
        <f>TEXT(Budget233[[#This Row],[DATA]],"mmmm")&amp;" "&amp;TEXT(Budget233[[#This Row],[DATA]],"aaaa")</f>
        <v>agosto 2024</v>
      </c>
      <c r="C175" s="14" t="s">
        <v>13</v>
      </c>
      <c r="D175" s="15"/>
      <c r="E175" s="15">
        <v>4.25</v>
      </c>
      <c r="F175" s="15">
        <f>F174+Budget233[[#This Row],[ENTRATE]]-Budget233[[#This Row],[USCITE]]</f>
        <v>5633.1799999999994</v>
      </c>
    </row>
    <row r="176" spans="1:6" x14ac:dyDescent="0.25">
      <c r="A176" s="12">
        <v>45519</v>
      </c>
      <c r="B176" s="13" t="str">
        <f>TEXT(Budget233[[#This Row],[DATA]],"mmmm")&amp;" "&amp;TEXT(Budget233[[#This Row],[DATA]],"aaaa")</f>
        <v>agosto 2024</v>
      </c>
      <c r="C176" s="14" t="s">
        <v>14</v>
      </c>
      <c r="D176" s="15"/>
      <c r="E176" s="15">
        <v>140.47999999999999</v>
      </c>
      <c r="F176" s="15">
        <f>F175+Budget233[[#This Row],[ENTRATE]]-Budget233[[#This Row],[USCITE]]</f>
        <v>5492.7</v>
      </c>
    </row>
    <row r="177" spans="1:6" x14ac:dyDescent="0.25">
      <c r="A177" s="12">
        <v>45519</v>
      </c>
      <c r="B177" s="13" t="str">
        <f>TEXT(Budget233[[#This Row],[DATA]],"mmmm")&amp;" "&amp;TEXT(Budget233[[#This Row],[DATA]],"aaaa")</f>
        <v>agosto 2024</v>
      </c>
      <c r="C177" s="13" t="s">
        <v>7</v>
      </c>
      <c r="D177" s="15"/>
      <c r="E177" s="15">
        <v>27.6</v>
      </c>
      <c r="F177" s="15">
        <f>F176+Budget233[[#This Row],[ENTRATE]]-Budget233[[#This Row],[USCITE]]</f>
        <v>5465.0999999999995</v>
      </c>
    </row>
    <row r="178" spans="1:6" x14ac:dyDescent="0.25">
      <c r="A178" s="12">
        <v>45519</v>
      </c>
      <c r="B178" s="13" t="str">
        <f>TEXT(Budget233[[#This Row],[DATA]],"mmmm")&amp;" "&amp;TEXT(Budget233[[#This Row],[DATA]],"aaaa")</f>
        <v>agosto 2024</v>
      </c>
      <c r="C178" s="13" t="s">
        <v>15</v>
      </c>
      <c r="D178" s="15"/>
      <c r="E178" s="15">
        <v>182.98</v>
      </c>
      <c r="F178" s="15">
        <f>F177+Budget233[[#This Row],[ENTRATE]]-Budget233[[#This Row],[USCITE]]</f>
        <v>5282.12</v>
      </c>
    </row>
    <row r="179" spans="1:6" x14ac:dyDescent="0.25">
      <c r="A179" s="12">
        <v>45519</v>
      </c>
      <c r="B179" s="13" t="str">
        <f>TEXT(Budget233[[#This Row],[DATA]],"mmmm")&amp;" "&amp;TEXT(Budget233[[#This Row],[DATA]],"aaaa")</f>
        <v>agosto 2024</v>
      </c>
      <c r="C179" s="13" t="s">
        <v>6</v>
      </c>
      <c r="D179" s="15"/>
      <c r="E179" s="15">
        <f>2.4+2</f>
        <v>4.4000000000000004</v>
      </c>
      <c r="F179" s="15">
        <f>F178+Budget233[[#This Row],[ENTRATE]]-Budget233[[#This Row],[USCITE]]</f>
        <v>5277.72</v>
      </c>
    </row>
    <row r="180" spans="1:6" x14ac:dyDescent="0.25">
      <c r="A180" s="12">
        <v>45530</v>
      </c>
      <c r="B180" s="13" t="str">
        <f>TEXT(Budget233[[#This Row],[DATA]],"mmmm")&amp;" "&amp;TEXT(Budget233[[#This Row],[DATA]],"aaaa")</f>
        <v>agosto 2024</v>
      </c>
      <c r="C180" s="13" t="s">
        <v>7</v>
      </c>
      <c r="D180" s="15"/>
      <c r="E180" s="15">
        <v>50.06</v>
      </c>
      <c r="F180" s="15">
        <f>F179+Budget233[[#This Row],[ENTRATE]]-Budget233[[#This Row],[USCITE]]</f>
        <v>5227.66</v>
      </c>
    </row>
    <row r="181" spans="1:6" x14ac:dyDescent="0.25">
      <c r="A181" s="12">
        <v>45535</v>
      </c>
      <c r="B181" s="13" t="str">
        <f>TEXT(Budget233[[#This Row],[DATA]],"mmmm")&amp;" "&amp;TEXT(Budget233[[#This Row],[DATA]],"aaaa")</f>
        <v>agosto 2024</v>
      </c>
      <c r="C181" s="14" t="s">
        <v>18</v>
      </c>
      <c r="D181" s="15"/>
      <c r="E181" s="15">
        <v>307.01</v>
      </c>
      <c r="F181" s="15">
        <f>F180+Budget233[[#This Row],[ENTRATE]]-Budget233[[#This Row],[USCITE]]</f>
        <v>4920.6499999999996</v>
      </c>
    </row>
    <row r="182" spans="1:6" x14ac:dyDescent="0.25">
      <c r="A182" s="12">
        <v>45540</v>
      </c>
      <c r="B182" s="13" t="str">
        <f>TEXT(Budget233[[#This Row],[DATA]],"mmmm")&amp;" "&amp;TEXT(Budget233[[#This Row],[DATA]],"aaaa")</f>
        <v>settembre 2024</v>
      </c>
      <c r="C182" s="14" t="s">
        <v>16</v>
      </c>
      <c r="D182" s="15"/>
      <c r="E182" s="15">
        <v>16.399999999999999</v>
      </c>
      <c r="F182" s="15">
        <f>F181+Budget233[[#This Row],[ENTRATE]]-Budget233[[#This Row],[USCITE]]</f>
        <v>4904.25</v>
      </c>
    </row>
    <row r="183" spans="1:6" x14ac:dyDescent="0.25">
      <c r="A183" s="12">
        <v>45544</v>
      </c>
      <c r="B183" s="13" t="str">
        <f>TEXT(Budget233[[#This Row],[DATA]],"mmmm")&amp;" "&amp;TEXT(Budget233[[#This Row],[DATA]],"aaaa")</f>
        <v>settembre 2024</v>
      </c>
      <c r="C183" s="13" t="s">
        <v>8</v>
      </c>
      <c r="D183" s="15"/>
      <c r="E183" s="15">
        <v>47.77</v>
      </c>
      <c r="F183" s="15">
        <f>F182+Budget233[[#This Row],[ENTRATE]]-Budget233[[#This Row],[USCITE]]</f>
        <v>4856.4799999999996</v>
      </c>
    </row>
    <row r="184" spans="1:6" x14ac:dyDescent="0.25">
      <c r="A184" s="12">
        <v>45545</v>
      </c>
      <c r="B184" s="13" t="str">
        <f>TEXT(Budget233[[#This Row],[DATA]],"mmmm")&amp;" "&amp;TEXT(Budget233[[#This Row],[DATA]],"aaaa")</f>
        <v>settembre 2024</v>
      </c>
      <c r="C184" s="14" t="s">
        <v>10</v>
      </c>
      <c r="D184" s="15">
        <v>1830</v>
      </c>
      <c r="E184" s="15"/>
      <c r="F184" s="15">
        <f>F183+Budget233[[#This Row],[ENTRATE]]-Budget233[[#This Row],[USCITE]]</f>
        <v>6686.48</v>
      </c>
    </row>
    <row r="185" spans="1:6" x14ac:dyDescent="0.25">
      <c r="A185" s="12">
        <v>45546</v>
      </c>
      <c r="B185" s="13" t="str">
        <f>TEXT(Budget233[[#This Row],[DATA]],"mmmm")&amp;" "&amp;TEXT(Budget233[[#This Row],[DATA]],"aaaa")</f>
        <v>settembre 2024</v>
      </c>
      <c r="C185" s="14" t="s">
        <v>11</v>
      </c>
      <c r="D185" s="15"/>
      <c r="E185" s="15">
        <v>500.5</v>
      </c>
      <c r="F185" s="15">
        <f>F184+Budget233[[#This Row],[ENTRATE]]-Budget233[[#This Row],[USCITE]]</f>
        <v>6185.98</v>
      </c>
    </row>
    <row r="186" spans="1:6" x14ac:dyDescent="0.25">
      <c r="A186" s="12">
        <v>45546</v>
      </c>
      <c r="B186" s="13" t="str">
        <f>TEXT(Budget233[[#This Row],[DATA]],"mmmm")&amp;" "&amp;TEXT(Budget233[[#This Row],[DATA]],"aaaa")</f>
        <v>settembre 2024</v>
      </c>
      <c r="C186" s="14" t="s">
        <v>9</v>
      </c>
      <c r="D186" s="15"/>
      <c r="E186" s="15">
        <v>250</v>
      </c>
      <c r="F186" s="15">
        <f>F185+Budget233[[#This Row],[ENTRATE]]-Budget233[[#This Row],[USCITE]]</f>
        <v>5935.98</v>
      </c>
    </row>
    <row r="187" spans="1:6" x14ac:dyDescent="0.25">
      <c r="A187" s="12">
        <v>45551</v>
      </c>
      <c r="B187" s="13" t="str">
        <f>TEXT(Budget233[[#This Row],[DATA]],"mmmm")&amp;" "&amp;TEXT(Budget233[[#This Row],[DATA]],"aaaa")</f>
        <v>settembre 2024</v>
      </c>
      <c r="C187" s="14" t="s">
        <v>55</v>
      </c>
      <c r="D187" s="15"/>
      <c r="E187" s="15">
        <v>99.99</v>
      </c>
      <c r="F187" s="15">
        <f>F186+Budget233[[#This Row],[ENTRATE]]-Budget233[[#This Row],[USCITE]]</f>
        <v>5835.99</v>
      </c>
    </row>
    <row r="188" spans="1:6" x14ac:dyDescent="0.25">
      <c r="A188" s="12">
        <v>45551</v>
      </c>
      <c r="B188" s="13" t="str">
        <f>TEXT(Budget233[[#This Row],[DATA]],"mmmm")&amp;" "&amp;TEXT(Budget233[[#This Row],[DATA]],"aaaa")</f>
        <v>settembre 2024</v>
      </c>
      <c r="C188" s="14" t="s">
        <v>9</v>
      </c>
      <c r="D188" s="15"/>
      <c r="E188" s="15">
        <f>250+12</f>
        <v>262</v>
      </c>
      <c r="F188" s="15">
        <f>F187+Budget233[[#This Row],[ENTRATE]]-Budget233[[#This Row],[USCITE]]</f>
        <v>5573.99</v>
      </c>
    </row>
    <row r="189" spans="1:6" x14ac:dyDescent="0.25">
      <c r="A189" s="12">
        <v>45551</v>
      </c>
      <c r="B189" s="13" t="str">
        <f>TEXT(Budget233[[#This Row],[DATA]],"mmmm")&amp;" "&amp;TEXT(Budget233[[#This Row],[DATA]],"aaaa")</f>
        <v>settembre 2024</v>
      </c>
      <c r="C189" s="14" t="s">
        <v>12</v>
      </c>
      <c r="D189" s="15"/>
      <c r="E189" s="15">
        <v>10</v>
      </c>
      <c r="F189" s="15">
        <f>F188+Budget233[[#This Row],[ENTRATE]]-Budget233[[#This Row],[USCITE]]</f>
        <v>5563.99</v>
      </c>
    </row>
    <row r="190" spans="1:6" x14ac:dyDescent="0.25">
      <c r="A190" s="12">
        <v>45551</v>
      </c>
      <c r="B190" s="13" t="str">
        <f>TEXT(Budget233[[#This Row],[DATA]],"mmmm")&amp;" "&amp;TEXT(Budget233[[#This Row],[DATA]],"aaaa")</f>
        <v>settembre 2024</v>
      </c>
      <c r="C190" s="14" t="s">
        <v>7</v>
      </c>
      <c r="D190" s="15"/>
      <c r="E190" s="15">
        <v>27.9</v>
      </c>
      <c r="F190" s="15">
        <f>F189+Budget233[[#This Row],[ENTRATE]]-Budget233[[#This Row],[USCITE]]</f>
        <v>5536.09</v>
      </c>
    </row>
    <row r="191" spans="1:6" x14ac:dyDescent="0.25">
      <c r="A191" s="12">
        <v>45551</v>
      </c>
      <c r="B191" s="13" t="str">
        <f>TEXT(Budget233[[#This Row],[DATA]],"mmmm")&amp;" "&amp;TEXT(Budget233[[#This Row],[DATA]],"aaaa")</f>
        <v>settembre 2024</v>
      </c>
      <c r="C191" s="14" t="s">
        <v>121</v>
      </c>
      <c r="D191" s="15"/>
      <c r="E191" s="15">
        <v>179.9</v>
      </c>
      <c r="F191" s="15">
        <f>F190+Budget233[[#This Row],[ENTRATE]]-Budget233[[#This Row],[USCITE]]</f>
        <v>5356.1900000000005</v>
      </c>
    </row>
    <row r="192" spans="1:6" x14ac:dyDescent="0.25">
      <c r="A192" s="12">
        <v>45551</v>
      </c>
      <c r="B192" s="13" t="str">
        <f>TEXT(Budget233[[#This Row],[DATA]],"mmmm")&amp;" "&amp;TEXT(Budget233[[#This Row],[DATA]],"aaaa")</f>
        <v>settembre 2024</v>
      </c>
      <c r="C192" s="14" t="s">
        <v>122</v>
      </c>
      <c r="D192" s="15"/>
      <c r="E192" s="15">
        <v>315</v>
      </c>
      <c r="F192" s="15">
        <f>F191+Budget233[[#This Row],[ENTRATE]]-Budget233[[#This Row],[USCITE]]</f>
        <v>5041.1900000000005</v>
      </c>
    </row>
    <row r="193" spans="1:6" x14ac:dyDescent="0.25">
      <c r="A193" s="12">
        <v>45551</v>
      </c>
      <c r="B193" s="13" t="str">
        <f>TEXT(Budget233[[#This Row],[DATA]],"mmmm")&amp;" "&amp;TEXT(Budget233[[#This Row],[DATA]],"aaaa")</f>
        <v>settembre 2024</v>
      </c>
      <c r="C193" s="14" t="s">
        <v>7</v>
      </c>
      <c r="D193" s="15"/>
      <c r="E193" s="15">
        <v>28.1</v>
      </c>
      <c r="F193" s="15">
        <f>F192+Budget233[[#This Row],[ENTRATE]]-Budget233[[#This Row],[USCITE]]</f>
        <v>5013.09</v>
      </c>
    </row>
    <row r="194" spans="1:6" x14ac:dyDescent="0.25">
      <c r="A194" s="12">
        <v>45551</v>
      </c>
      <c r="B194" s="13" t="str">
        <f>TEXT(Budget233[[#This Row],[DATA]],"mmmm")&amp;" "&amp;TEXT(Budget233[[#This Row],[DATA]],"aaaa")</f>
        <v>settembre 2024</v>
      </c>
      <c r="C194" s="14" t="s">
        <v>13</v>
      </c>
      <c r="D194" s="15"/>
      <c r="E194" s="15">
        <v>4.25</v>
      </c>
      <c r="F194" s="15">
        <f>F193+Budget233[[#This Row],[ENTRATE]]-Budget233[[#This Row],[USCITE]]</f>
        <v>5008.84</v>
      </c>
    </row>
    <row r="195" spans="1:6" x14ac:dyDescent="0.25">
      <c r="A195" s="12">
        <v>45551</v>
      </c>
      <c r="B195" s="13" t="str">
        <f>TEXT(Budget233[[#This Row],[DATA]],"mmmm")&amp;" "&amp;TEXT(Budget233[[#This Row],[DATA]],"aaaa")</f>
        <v>settembre 2024</v>
      </c>
      <c r="C195" s="14" t="s">
        <v>44</v>
      </c>
      <c r="D195" s="15"/>
      <c r="E195" s="15">
        <v>20</v>
      </c>
      <c r="F195" s="15">
        <f>F194+Budget233[[#This Row],[ENTRATE]]-Budget233[[#This Row],[USCITE]]</f>
        <v>4988.84</v>
      </c>
    </row>
    <row r="196" spans="1:6" x14ac:dyDescent="0.25">
      <c r="A196" s="12">
        <v>45551</v>
      </c>
      <c r="B196" s="13" t="str">
        <f>TEXT(Budget233[[#This Row],[DATA]],"mmmm")&amp;" "&amp;TEXT(Budget233[[#This Row],[DATA]],"aaaa")</f>
        <v>settembre 2024</v>
      </c>
      <c r="C196" s="14" t="s">
        <v>6</v>
      </c>
      <c r="D196" s="15"/>
      <c r="E196" s="15">
        <f>6+2</f>
        <v>8</v>
      </c>
      <c r="F196" s="15">
        <f>F195+Budget233[[#This Row],[ENTRATE]]-Budget233[[#This Row],[USCITE]]</f>
        <v>4980.84</v>
      </c>
    </row>
    <row r="197" spans="1:6" x14ac:dyDescent="0.25">
      <c r="A197" s="12">
        <v>45551</v>
      </c>
      <c r="B197" s="13" t="str">
        <f>TEXT(Budget233[[#This Row],[DATA]],"mmmm")&amp;" "&amp;TEXT(Budget233[[#This Row],[DATA]],"aaaa")</f>
        <v>settembre 2024</v>
      </c>
      <c r="C197" s="14" t="s">
        <v>123</v>
      </c>
      <c r="D197" s="15"/>
      <c r="E197" s="15">
        <v>9.99</v>
      </c>
      <c r="F197" s="15">
        <f>F196+Budget233[[#This Row],[ENTRATE]]-Budget233[[#This Row],[USCITE]]</f>
        <v>4970.8500000000004</v>
      </c>
    </row>
    <row r="198" spans="1:6" x14ac:dyDescent="0.25">
      <c r="A198" s="12">
        <v>45551</v>
      </c>
      <c r="B198" s="13" t="str">
        <f>TEXT(Budget233[[#This Row],[DATA]],"mmmm")&amp;" "&amp;TEXT(Budget233[[#This Row],[DATA]],"aaaa")</f>
        <v>settembre 2024</v>
      </c>
      <c r="C198" s="14" t="s">
        <v>7</v>
      </c>
      <c r="D198" s="15"/>
      <c r="E198" s="15">
        <v>16.350000000000001</v>
      </c>
      <c r="F198" s="15">
        <f>F197+Budget233[[#This Row],[ENTRATE]]-Budget233[[#This Row],[USCITE]]</f>
        <v>4954.5</v>
      </c>
    </row>
    <row r="199" spans="1:6" x14ac:dyDescent="0.25">
      <c r="A199" s="12">
        <v>45551</v>
      </c>
      <c r="B199" s="13" t="str">
        <f>TEXT(Budget233[[#This Row],[DATA]],"mmmm")&amp;" "&amp;TEXT(Budget233[[#This Row],[DATA]],"aaaa")</f>
        <v>settembre 2024</v>
      </c>
      <c r="C199" s="14" t="s">
        <v>7</v>
      </c>
      <c r="D199" s="15"/>
      <c r="E199" s="15">
        <v>28.1</v>
      </c>
      <c r="F199" s="15">
        <f>F198+Budget233[[#This Row],[ENTRATE]]-Budget233[[#This Row],[USCITE]]</f>
        <v>4926.3999999999996</v>
      </c>
    </row>
    <row r="200" spans="1:6" x14ac:dyDescent="0.25">
      <c r="A200" s="12">
        <v>45554</v>
      </c>
      <c r="B200" s="13" t="str">
        <f>TEXT(Budget233[[#This Row],[DATA]],"mmmm")&amp;" "&amp;TEXT(Budget233[[#This Row],[DATA]],"aaaa")</f>
        <v>settembre 2024</v>
      </c>
      <c r="C200" s="14" t="s">
        <v>25</v>
      </c>
      <c r="D200" s="15"/>
      <c r="E200" s="15">
        <v>308.5</v>
      </c>
      <c r="F200" s="15">
        <f>F199+Budget233[[#This Row],[ENTRATE]]-Budget233[[#This Row],[USCITE]]</f>
        <v>4617.8999999999996</v>
      </c>
    </row>
    <row r="201" spans="1:6" x14ac:dyDescent="0.25">
      <c r="A201" s="12">
        <v>45560</v>
      </c>
      <c r="B201" s="13" t="str">
        <f>TEXT(Budget233[[#This Row],[DATA]],"mmmm")&amp;" "&amp;TEXT(Budget233[[#This Row],[DATA]],"aaaa")</f>
        <v>settembre 2024</v>
      </c>
      <c r="C201" s="14" t="s">
        <v>124</v>
      </c>
      <c r="D201" s="15"/>
      <c r="E201" s="15">
        <v>116</v>
      </c>
      <c r="F201" s="15">
        <f>F200+Budget233[[#This Row],[ENTRATE]]-Budget233[[#This Row],[USCITE]]</f>
        <v>4501.8999999999996</v>
      </c>
    </row>
    <row r="202" spans="1:6" x14ac:dyDescent="0.25">
      <c r="A202" s="12">
        <v>45560</v>
      </c>
      <c r="B202" s="13" t="str">
        <f>TEXT(Budget233[[#This Row],[DATA]],"mmmm")&amp;" "&amp;TEXT(Budget233[[#This Row],[DATA]],"aaaa")</f>
        <v>settembre 2024</v>
      </c>
      <c r="C202" s="14" t="s">
        <v>7</v>
      </c>
      <c r="D202" s="15"/>
      <c r="E202" s="15">
        <v>26.07</v>
      </c>
      <c r="F202" s="15">
        <f>F201+Budget233[[#This Row],[ENTRATE]]-Budget233[[#This Row],[USCITE]]</f>
        <v>4475.83</v>
      </c>
    </row>
    <row r="203" spans="1:6" x14ac:dyDescent="0.25">
      <c r="A203" s="12">
        <v>45565</v>
      </c>
      <c r="B203" s="13" t="str">
        <f>TEXT(Budget233[[#This Row],[DATA]],"mmmm")&amp;" "&amp;TEXT(Budget233[[#This Row],[DATA]],"aaaa")</f>
        <v>settembre 2024</v>
      </c>
      <c r="C203" s="14" t="s">
        <v>18</v>
      </c>
      <c r="D203" s="15"/>
      <c r="E203" s="15">
        <v>307.01</v>
      </c>
      <c r="F203" s="15">
        <f>F202+Budget233[[#This Row],[ENTRATE]]-Budget233[[#This Row],[USCITE]]</f>
        <v>4168.82</v>
      </c>
    </row>
    <row r="204" spans="1:6" x14ac:dyDescent="0.25">
      <c r="A204" s="12">
        <v>45566</v>
      </c>
      <c r="B204" s="13" t="str">
        <f>TEXT(Budget233[[#This Row],[DATA]],"mmmm")&amp;" "&amp;TEXT(Budget233[[#This Row],[DATA]],"aaaa")</f>
        <v>ottobre 2024</v>
      </c>
      <c r="C204" s="13" t="s">
        <v>23</v>
      </c>
      <c r="D204" s="15"/>
      <c r="E204" s="15">
        <v>17</v>
      </c>
      <c r="F204" s="15">
        <f>F203+Budget233[[#This Row],[ENTRATE]]-Budget233[[#This Row],[USCITE]]</f>
        <v>4151.82</v>
      </c>
    </row>
    <row r="205" spans="1:6" x14ac:dyDescent="0.25">
      <c r="A205" s="12">
        <v>45566</v>
      </c>
      <c r="B205" s="13" t="str">
        <f>TEXT(Budget233[[#This Row],[DATA]],"mmmm")&amp;" "&amp;TEXT(Budget233[[#This Row],[DATA]],"aaaa")</f>
        <v>ottobre 2024</v>
      </c>
      <c r="C205" s="13" t="s">
        <v>6</v>
      </c>
      <c r="D205" s="15"/>
      <c r="E205" s="15">
        <v>2.7</v>
      </c>
      <c r="F205" s="15">
        <f>F204+Budget233[[#This Row],[ENTRATE]]-Budget233[[#This Row],[USCITE]]</f>
        <v>4149.12</v>
      </c>
    </row>
    <row r="206" spans="1:6" x14ac:dyDescent="0.25">
      <c r="A206" s="12">
        <v>45568</v>
      </c>
      <c r="B206" s="13" t="str">
        <f>TEXT(Budget233[[#This Row],[DATA]],"mmmm")&amp;" "&amp;TEXT(Budget233[[#This Row],[DATA]],"aaaa")</f>
        <v>ottobre 2024</v>
      </c>
      <c r="C206" s="13" t="s">
        <v>23</v>
      </c>
      <c r="D206" s="15"/>
      <c r="E206" s="15">
        <v>8</v>
      </c>
      <c r="F206" s="15">
        <f>F205+Budget233[[#This Row],[ENTRATE]]-Budget233[[#This Row],[USCITE]]</f>
        <v>4141.12</v>
      </c>
    </row>
    <row r="207" spans="1:6" x14ac:dyDescent="0.25">
      <c r="A207" s="12">
        <v>45568</v>
      </c>
      <c r="B207" s="13" t="str">
        <f>TEXT(Budget233[[#This Row],[DATA]],"mmmm")&amp;" "&amp;TEXT(Budget233[[#This Row],[DATA]],"aaaa")</f>
        <v>ottobre 2024</v>
      </c>
      <c r="C207" s="13" t="s">
        <v>62</v>
      </c>
      <c r="D207" s="15"/>
      <c r="E207" s="15">
        <v>333.96</v>
      </c>
      <c r="F207" s="15">
        <f>F206+Budget233[[#This Row],[ENTRATE]]-Budget233[[#This Row],[USCITE]]</f>
        <v>3807.16</v>
      </c>
    </row>
    <row r="208" spans="1:6" x14ac:dyDescent="0.25">
      <c r="A208" s="12">
        <v>45569</v>
      </c>
      <c r="B208" s="13" t="str">
        <f>TEXT(Budget233[[#This Row],[DATA]],"mmmm")&amp;" "&amp;TEXT(Budget233[[#This Row],[DATA]],"aaaa")</f>
        <v>ottobre 2024</v>
      </c>
      <c r="C208" s="13" t="s">
        <v>16</v>
      </c>
      <c r="D208" s="15"/>
      <c r="E208" s="15">
        <v>8.5</v>
      </c>
      <c r="F208" s="15">
        <f>F207+Budget233[[#This Row],[ENTRATE]]-Budget233[[#This Row],[USCITE]]</f>
        <v>3798.66</v>
      </c>
    </row>
    <row r="209" spans="1:6" x14ac:dyDescent="0.25">
      <c r="A209" s="12">
        <v>45572</v>
      </c>
      <c r="B209" s="13" t="str">
        <f>TEXT(Budget233[[#This Row],[DATA]],"mmmm")&amp;" "&amp;TEXT(Budget233[[#This Row],[DATA]],"aaaa")</f>
        <v>ottobre 2024</v>
      </c>
      <c r="C209" s="13" t="s">
        <v>23</v>
      </c>
      <c r="D209" s="15"/>
      <c r="E209" s="15">
        <v>6</v>
      </c>
      <c r="F209" s="15">
        <f>F208+Budget233[[#This Row],[ENTRATE]]-Budget233[[#This Row],[USCITE]]</f>
        <v>3792.66</v>
      </c>
    </row>
    <row r="210" spans="1:6" x14ac:dyDescent="0.25">
      <c r="A210" s="12">
        <v>45572</v>
      </c>
      <c r="B210" s="13" t="str">
        <f>TEXT(Budget233[[#This Row],[DATA]],"mmmm")&amp;" "&amp;TEXT(Budget233[[#This Row],[DATA]],"aaaa")</f>
        <v>ottobre 2024</v>
      </c>
      <c r="C210" s="14" t="s">
        <v>11</v>
      </c>
      <c r="D210" s="15"/>
      <c r="E210" s="15">
        <v>500.5</v>
      </c>
      <c r="F210" s="15">
        <f>F209+Budget233[[#This Row],[ENTRATE]]-Budget233[[#This Row],[USCITE]]</f>
        <v>3292.16</v>
      </c>
    </row>
    <row r="211" spans="1:6" x14ac:dyDescent="0.25">
      <c r="A211" s="12">
        <v>45573</v>
      </c>
      <c r="B211" s="13" t="str">
        <f>TEXT(Budget233[[#This Row],[DATA]],"mmmm")&amp;" "&amp;TEXT(Budget233[[#This Row],[DATA]],"aaaa")</f>
        <v>ottobre 2024</v>
      </c>
      <c r="C211" s="13" t="s">
        <v>8</v>
      </c>
      <c r="D211" s="15"/>
      <c r="E211" s="15">
        <v>47.77</v>
      </c>
      <c r="F211" s="15">
        <f>F210+Budget233[[#This Row],[ENTRATE]]-Budget233[[#This Row],[USCITE]]</f>
        <v>3244.39</v>
      </c>
    </row>
    <row r="212" spans="1:6" x14ac:dyDescent="0.25">
      <c r="A212" s="12">
        <v>45574</v>
      </c>
      <c r="B212" s="13" t="str">
        <f>TEXT(Budget233[[#This Row],[DATA]],"mmmm")&amp;" "&amp;TEXT(Budget233[[#This Row],[DATA]],"aaaa")</f>
        <v>ottobre 2024</v>
      </c>
      <c r="C212" s="13" t="s">
        <v>23</v>
      </c>
      <c r="D212" s="15"/>
      <c r="E212" s="15">
        <v>10</v>
      </c>
      <c r="F212" s="15">
        <f>F211+Budget233[[#This Row],[ENTRATE]]-Budget233[[#This Row],[USCITE]]</f>
        <v>3234.39</v>
      </c>
    </row>
    <row r="213" spans="1:6" x14ac:dyDescent="0.25">
      <c r="A213" s="12">
        <v>45574</v>
      </c>
      <c r="B213" s="13" t="str">
        <f>TEXT(Budget233[[#This Row],[DATA]],"mmmm")&amp;" "&amp;TEXT(Budget233[[#This Row],[DATA]],"aaaa")</f>
        <v>ottobre 2024</v>
      </c>
      <c r="C213" s="13" t="s">
        <v>7</v>
      </c>
      <c r="D213" s="15"/>
      <c r="E213" s="15">
        <v>27.85</v>
      </c>
      <c r="F213" s="15">
        <f>F212+Budget233[[#This Row],[ENTRATE]]-Budget233[[#This Row],[USCITE]]</f>
        <v>3206.54</v>
      </c>
    </row>
    <row r="214" spans="1:6" x14ac:dyDescent="0.25">
      <c r="A214" s="12">
        <v>45575</v>
      </c>
      <c r="B214" s="13" t="str">
        <f>TEXT(Budget233[[#This Row],[DATA]],"mmmm")&amp;" "&amp;TEXT(Budget233[[#This Row],[DATA]],"aaaa")</f>
        <v>ottobre 2024</v>
      </c>
      <c r="C214" s="13" t="s">
        <v>7</v>
      </c>
      <c r="D214" s="15"/>
      <c r="E214" s="15">
        <v>100</v>
      </c>
      <c r="F214" s="15">
        <f>F213+Budget233[[#This Row],[ENTRATE]]-Budget233[[#This Row],[USCITE]]</f>
        <v>3106.54</v>
      </c>
    </row>
    <row r="215" spans="1:6" x14ac:dyDescent="0.25">
      <c r="A215" s="12">
        <v>45576</v>
      </c>
      <c r="B215" s="13" t="str">
        <f>TEXT(Budget233[[#This Row],[DATA]],"mmmm")&amp;" "&amp;TEXT(Budget233[[#This Row],[DATA]],"aaaa")</f>
        <v>ottobre 2024</v>
      </c>
      <c r="C215" s="14" t="s">
        <v>10</v>
      </c>
      <c r="D215" s="15">
        <v>1826</v>
      </c>
      <c r="E215" s="15"/>
      <c r="F215" s="15">
        <f>F214+Budget233[[#This Row],[ENTRATE]]-Budget233[[#This Row],[USCITE]]</f>
        <v>4932.54</v>
      </c>
    </row>
    <row r="216" spans="1:6" x14ac:dyDescent="0.25">
      <c r="A216" s="12">
        <v>45576</v>
      </c>
      <c r="B216" s="13" t="str">
        <f>TEXT(Budget233[[#This Row],[DATA]],"mmmm")&amp;" "&amp;TEXT(Budget233[[#This Row],[DATA]],"aaaa")</f>
        <v>ottobre 2024</v>
      </c>
      <c r="C216" s="13" t="s">
        <v>11</v>
      </c>
      <c r="D216" s="15"/>
      <c r="E216" s="15">
        <v>500.5</v>
      </c>
      <c r="F216" s="15">
        <f>F215+Budget233[[#This Row],[ENTRATE]]-Budget233[[#This Row],[USCITE]]</f>
        <v>4432.04</v>
      </c>
    </row>
    <row r="217" spans="1:6" x14ac:dyDescent="0.25">
      <c r="A217" s="12">
        <v>45580</v>
      </c>
      <c r="B217" s="13" t="str">
        <f>TEXT(Budget233[[#This Row],[DATA]],"mmmm")&amp;" "&amp;TEXT(Budget233[[#This Row],[DATA]],"aaaa")</f>
        <v>ottobre 2024</v>
      </c>
      <c r="C217" s="13" t="s">
        <v>6</v>
      </c>
      <c r="D217" s="15"/>
      <c r="E217" s="15">
        <f>8.59+15.5</f>
        <v>24.09</v>
      </c>
      <c r="F217" s="15">
        <f>F216+Budget233[[#This Row],[ENTRATE]]-Budget233[[#This Row],[USCITE]]</f>
        <v>4407.95</v>
      </c>
    </row>
    <row r="218" spans="1:6" x14ac:dyDescent="0.25">
      <c r="A218" s="12">
        <v>45581</v>
      </c>
      <c r="B218" s="13" t="str">
        <f>TEXT(Budget233[[#This Row],[DATA]],"mmmm")&amp;" "&amp;TEXT(Budget233[[#This Row],[DATA]],"aaaa")</f>
        <v>ottobre 2024</v>
      </c>
      <c r="C218" s="14" t="s">
        <v>12</v>
      </c>
      <c r="D218" s="15"/>
      <c r="E218" s="15">
        <v>10</v>
      </c>
      <c r="F218" s="15">
        <f>F217+Budget233[[#This Row],[ENTRATE]]-Budget233[[#This Row],[USCITE]]</f>
        <v>4397.95</v>
      </c>
    </row>
    <row r="219" spans="1:6" x14ac:dyDescent="0.25">
      <c r="A219" s="12">
        <v>45581</v>
      </c>
      <c r="B219" s="13" t="str">
        <f>TEXT(Budget233[[#This Row],[DATA]],"mmmm")&amp;" "&amp;TEXT(Budget233[[#This Row],[DATA]],"aaaa")</f>
        <v>ottobre 2024</v>
      </c>
      <c r="C219" s="14" t="s">
        <v>9</v>
      </c>
      <c r="D219" s="15"/>
      <c r="E219" s="15">
        <v>262</v>
      </c>
      <c r="F219" s="15">
        <f>F218+Budget233[[#This Row],[ENTRATE]]-Budget233[[#This Row],[USCITE]]</f>
        <v>4135.95</v>
      </c>
    </row>
    <row r="220" spans="1:6" x14ac:dyDescent="0.25">
      <c r="A220" s="12">
        <v>45581</v>
      </c>
      <c r="B220" s="13" t="str">
        <f>TEXT(Budget233[[#This Row],[DATA]],"mmmm")&amp;" "&amp;TEXT(Budget233[[#This Row],[DATA]],"aaaa")</f>
        <v>ottobre 2024</v>
      </c>
      <c r="C220" s="14" t="s">
        <v>24</v>
      </c>
      <c r="D220" s="15"/>
      <c r="E220" s="15">
        <v>57</v>
      </c>
      <c r="F220" s="15">
        <f>F219+Budget233[[#This Row],[ENTRATE]]-Budget233[[#This Row],[USCITE]]</f>
        <v>4078.95</v>
      </c>
    </row>
    <row r="221" spans="1:6" x14ac:dyDescent="0.25">
      <c r="A221" s="12">
        <v>45581</v>
      </c>
      <c r="B221" s="13" t="str">
        <f>TEXT(Budget233[[#This Row],[DATA]],"mmmm")&amp;" "&amp;TEXT(Budget233[[#This Row],[DATA]],"aaaa")</f>
        <v>ottobre 2024</v>
      </c>
      <c r="C221" s="14" t="s">
        <v>7</v>
      </c>
      <c r="D221" s="15"/>
      <c r="E221" s="15">
        <v>24.66</v>
      </c>
      <c r="F221" s="15">
        <f>F220+Budget233[[#This Row],[ENTRATE]]-Budget233[[#This Row],[USCITE]]</f>
        <v>4054.29</v>
      </c>
    </row>
    <row r="222" spans="1:6" x14ac:dyDescent="0.25">
      <c r="A222" s="12">
        <v>45581</v>
      </c>
      <c r="B222" s="13" t="str">
        <f>TEXT(Budget233[[#This Row],[DATA]],"mmmm")&amp;" "&amp;TEXT(Budget233[[#This Row],[DATA]],"aaaa")</f>
        <v>ottobre 2024</v>
      </c>
      <c r="C222" s="14" t="s">
        <v>14</v>
      </c>
      <c r="D222" s="15"/>
      <c r="E222" s="15">
        <v>36</v>
      </c>
      <c r="F222" s="15">
        <f>F221+Budget233[[#This Row],[ENTRATE]]-Budget233[[#This Row],[USCITE]]</f>
        <v>4018.29</v>
      </c>
    </row>
    <row r="223" spans="1:6" x14ac:dyDescent="0.25">
      <c r="A223" s="12">
        <v>45581</v>
      </c>
      <c r="B223" s="13" t="str">
        <f>TEXT(Budget233[[#This Row],[DATA]],"mmmm")&amp;" "&amp;TEXT(Budget233[[#This Row],[DATA]],"aaaa")</f>
        <v>ottobre 2024</v>
      </c>
      <c r="C223" s="14" t="s">
        <v>20</v>
      </c>
      <c r="D223" s="15"/>
      <c r="E223" s="15">
        <v>107.13</v>
      </c>
      <c r="F223" s="15">
        <f>F222+Budget233[[#This Row],[ENTRATE]]-Budget233[[#This Row],[USCITE]]</f>
        <v>3911.16</v>
      </c>
    </row>
    <row r="224" spans="1:6" x14ac:dyDescent="0.25">
      <c r="A224" s="12">
        <v>45581</v>
      </c>
      <c r="B224" s="13" t="str">
        <f>TEXT(Budget233[[#This Row],[DATA]],"mmmm")&amp;" "&amp;TEXT(Budget233[[#This Row],[DATA]],"aaaa")</f>
        <v>ottobre 2024</v>
      </c>
      <c r="C224" s="14" t="s">
        <v>12</v>
      </c>
      <c r="D224" s="15"/>
      <c r="E224" s="15">
        <v>10</v>
      </c>
      <c r="F224" s="15">
        <f>F223+Budget233[[#This Row],[ENTRATE]]-Budget233[[#This Row],[USCITE]]</f>
        <v>3901.16</v>
      </c>
    </row>
    <row r="225" spans="1:6" x14ac:dyDescent="0.25">
      <c r="A225" s="12">
        <v>45581</v>
      </c>
      <c r="B225" s="13" t="str">
        <f>TEXT(Budget233[[#This Row],[DATA]],"mmmm")&amp;" "&amp;TEXT(Budget233[[#This Row],[DATA]],"aaaa")</f>
        <v>ottobre 2024</v>
      </c>
      <c r="C225" s="14" t="s">
        <v>14</v>
      </c>
      <c r="D225" s="15"/>
      <c r="E225" s="15">
        <v>90.31</v>
      </c>
      <c r="F225" s="15">
        <f>F224+Budget233[[#This Row],[ENTRATE]]-Budget233[[#This Row],[USCITE]]</f>
        <v>3810.85</v>
      </c>
    </row>
    <row r="226" spans="1:6" x14ac:dyDescent="0.25">
      <c r="A226" s="12">
        <v>45581</v>
      </c>
      <c r="B226" s="13" t="str">
        <f>TEXT(Budget233[[#This Row],[DATA]],"mmmm")&amp;" "&amp;TEXT(Budget233[[#This Row],[DATA]],"aaaa")</f>
        <v>ottobre 2024</v>
      </c>
      <c r="C226" s="14" t="s">
        <v>14</v>
      </c>
      <c r="D226" s="15"/>
      <c r="E226" s="15">
        <v>899</v>
      </c>
      <c r="F226" s="15">
        <f>F225+Budget233[[#This Row],[ENTRATE]]-Budget233[[#This Row],[USCITE]]</f>
        <v>2911.85</v>
      </c>
    </row>
    <row r="227" spans="1:6" x14ac:dyDescent="0.25">
      <c r="A227" s="12">
        <v>45581</v>
      </c>
      <c r="B227" s="13" t="str">
        <f>TEXT(Budget233[[#This Row],[DATA]],"mmmm")&amp;" "&amp;TEXT(Budget233[[#This Row],[DATA]],"aaaa")</f>
        <v>ottobre 2024</v>
      </c>
      <c r="C227" s="14" t="s">
        <v>15</v>
      </c>
      <c r="D227" s="15"/>
      <c r="E227" s="15">
        <f>-1153.44+96.12</f>
        <v>-1057.3200000000002</v>
      </c>
      <c r="F227" s="15">
        <f>F226+Budget233[[#This Row],[ENTRATE]]-Budget233[[#This Row],[USCITE]]</f>
        <v>3969.17</v>
      </c>
    </row>
    <row r="228" spans="1:6" x14ac:dyDescent="0.25">
      <c r="A228" s="12">
        <v>45581</v>
      </c>
      <c r="B228" s="13" t="str">
        <f>TEXT(Budget233[[#This Row],[DATA]],"mmmm")&amp;" "&amp;TEXT(Budget233[[#This Row],[DATA]],"aaaa")</f>
        <v>ottobre 2024</v>
      </c>
      <c r="C228" s="14" t="s">
        <v>6</v>
      </c>
      <c r="D228" s="15"/>
      <c r="E228" s="15">
        <f>6.3+2</f>
        <v>8.3000000000000007</v>
      </c>
      <c r="F228" s="15">
        <f>F227+Budget233[[#This Row],[ENTRATE]]-Budget233[[#This Row],[USCITE]]</f>
        <v>3960.87</v>
      </c>
    </row>
    <row r="229" spans="1:6" x14ac:dyDescent="0.25">
      <c r="A229" s="12">
        <v>45589</v>
      </c>
      <c r="B229" s="13" t="str">
        <f>TEXT(Budget233[[#This Row],[DATA]],"mmmm")&amp;" "&amp;TEXT(Budget233[[#This Row],[DATA]],"aaaa")</f>
        <v>ottobre 2024</v>
      </c>
      <c r="C229" s="14" t="s">
        <v>23</v>
      </c>
      <c r="D229" s="15"/>
      <c r="E229" s="15">
        <v>14.1</v>
      </c>
      <c r="F229" s="15">
        <f>F228+Budget233[[#This Row],[ENTRATE]]-Budget233[[#This Row],[USCITE]]</f>
        <v>3946.77</v>
      </c>
    </row>
    <row r="230" spans="1:6" x14ac:dyDescent="0.25">
      <c r="A230" s="12">
        <v>45590</v>
      </c>
      <c r="B230" s="13" t="str">
        <f>TEXT(Budget233[[#This Row],[DATA]],"mmmm")&amp;" "&amp;TEXT(Budget233[[#This Row],[DATA]],"aaaa")</f>
        <v>ottobre 2024</v>
      </c>
      <c r="C230" s="14" t="s">
        <v>7</v>
      </c>
      <c r="D230" s="15"/>
      <c r="E230" s="15">
        <v>25.25</v>
      </c>
      <c r="F230" s="15">
        <f>F229+Budget233[[#This Row],[ENTRATE]]-Budget233[[#This Row],[USCITE]]</f>
        <v>3921.52</v>
      </c>
    </row>
    <row r="231" spans="1:6" x14ac:dyDescent="0.25">
      <c r="A231" s="12">
        <v>45593</v>
      </c>
      <c r="B231" s="13" t="str">
        <f>TEXT(Budget233[[#This Row],[DATA]],"mmmm")&amp;" "&amp;TEXT(Budget233[[#This Row],[DATA]],"aaaa")</f>
        <v>ottobre 2024</v>
      </c>
      <c r="C231" s="14" t="s">
        <v>125</v>
      </c>
      <c r="D231" s="15"/>
      <c r="E231" s="15">
        <v>22</v>
      </c>
      <c r="F231" s="15">
        <f>F230+Budget233[[#This Row],[ENTRATE]]-Budget233[[#This Row],[USCITE]]</f>
        <v>3899.52</v>
      </c>
    </row>
    <row r="232" spans="1:6" x14ac:dyDescent="0.25">
      <c r="A232" s="12">
        <v>45593</v>
      </c>
      <c r="B232" s="13" t="str">
        <f>TEXT(Budget233[[#This Row],[DATA]],"mmmm")&amp;" "&amp;TEXT(Budget233[[#This Row],[DATA]],"aaaa")</f>
        <v>ottobre 2024</v>
      </c>
      <c r="C232" s="14" t="s">
        <v>118</v>
      </c>
      <c r="D232" s="15"/>
      <c r="E232" s="15">
        <v>55.95</v>
      </c>
      <c r="F232" s="15">
        <f>F231+Budget233[[#This Row],[ENTRATE]]-Budget233[[#This Row],[USCITE]]</f>
        <v>3843.57</v>
      </c>
    </row>
    <row r="233" spans="1:6" x14ac:dyDescent="0.25">
      <c r="A233" s="12">
        <v>45595</v>
      </c>
      <c r="B233" s="13" t="str">
        <f>TEXT(Budget233[[#This Row],[DATA]],"mmmm")&amp;" "&amp;TEXT(Budget233[[#This Row],[DATA]],"aaaa")</f>
        <v>ottobre 2024</v>
      </c>
      <c r="C233" s="14" t="s">
        <v>11</v>
      </c>
      <c r="D233" s="15"/>
      <c r="E233" s="15">
        <v>500.5</v>
      </c>
      <c r="F233" s="15">
        <f>F232+Budget233[[#This Row],[ENTRATE]]-Budget233[[#This Row],[USCITE]]</f>
        <v>3343.07</v>
      </c>
    </row>
    <row r="234" spans="1:6" x14ac:dyDescent="0.25">
      <c r="A234" s="12">
        <v>45596</v>
      </c>
      <c r="B234" s="13" t="str">
        <f>TEXT(Budget233[[#This Row],[DATA]],"mmmm")&amp;" "&amp;TEXT(Budget233[[#This Row],[DATA]],"aaaa")</f>
        <v>ottobre 2024</v>
      </c>
      <c r="C234" s="14" t="s">
        <v>18</v>
      </c>
      <c r="D234" s="15"/>
      <c r="E234" s="15">
        <v>307.01</v>
      </c>
      <c r="F234" s="15">
        <f>F233+Budget233[[#This Row],[ENTRATE]]-Budget233[[#This Row],[USCITE]]</f>
        <v>3036.0600000000004</v>
      </c>
    </row>
    <row r="235" spans="1:6" x14ac:dyDescent="0.25">
      <c r="A235" s="12">
        <v>45596</v>
      </c>
      <c r="B235" s="13" t="str">
        <f>TEXT(Budget233[[#This Row],[DATA]],"mmmm")&amp;" "&amp;TEXT(Budget233[[#This Row],[DATA]],"aaaa")</f>
        <v>ottobre 2024</v>
      </c>
      <c r="C235" s="14" t="s">
        <v>56</v>
      </c>
      <c r="D235" s="15"/>
      <c r="E235" s="15">
        <v>116</v>
      </c>
      <c r="F235" s="15">
        <f>F234+Budget233[[#This Row],[ENTRATE]]-Budget233[[#This Row],[USCITE]]</f>
        <v>2920.0600000000004</v>
      </c>
    </row>
    <row r="236" spans="1:6" x14ac:dyDescent="0.25">
      <c r="A236" s="12">
        <v>45600</v>
      </c>
      <c r="B236" s="13" t="str">
        <f>TEXT(Budget233[[#This Row],[DATA]],"mmmm")&amp;" "&amp;TEXT(Budget233[[#This Row],[DATA]],"aaaa")</f>
        <v>novembre 2024</v>
      </c>
      <c r="C236" s="14" t="s">
        <v>7</v>
      </c>
      <c r="D236" s="15"/>
      <c r="E236" s="15">
        <v>34</v>
      </c>
      <c r="F236" s="15">
        <f>F235+Budget233[[#This Row],[ENTRATE]]-Budget233[[#This Row],[USCITE]]</f>
        <v>2886.0600000000004</v>
      </c>
    </row>
    <row r="237" spans="1:6" x14ac:dyDescent="0.25">
      <c r="A237" s="12">
        <v>45600</v>
      </c>
      <c r="B237" s="13" t="str">
        <f>TEXT(Budget233[[#This Row],[DATA]],"mmmm")&amp;" "&amp;TEXT(Budget233[[#This Row],[DATA]],"aaaa")</f>
        <v>novembre 2024</v>
      </c>
      <c r="C237" s="14" t="s">
        <v>7</v>
      </c>
      <c r="D237" s="15"/>
      <c r="E237" s="15">
        <v>65</v>
      </c>
      <c r="F237" s="15">
        <f>F236+Budget233[[#This Row],[ENTRATE]]-Budget233[[#This Row],[USCITE]]</f>
        <v>2821.0600000000004</v>
      </c>
    </row>
    <row r="238" spans="1:6" x14ac:dyDescent="0.25">
      <c r="A238" s="12">
        <v>45603</v>
      </c>
      <c r="B238" s="13" t="str">
        <f>TEXT(Budget233[[#This Row],[DATA]],"mmmm")&amp;" "&amp;TEXT(Budget233[[#This Row],[DATA]],"aaaa")</f>
        <v>novembre 2024</v>
      </c>
      <c r="C238" s="13" t="s">
        <v>9</v>
      </c>
      <c r="D238" s="15"/>
      <c r="E238" s="15">
        <v>100</v>
      </c>
      <c r="F238" s="15">
        <f>F237+Budget233[[#This Row],[ENTRATE]]-Budget233[[#This Row],[USCITE]]</f>
        <v>2721.0600000000004</v>
      </c>
    </row>
    <row r="239" spans="1:6" x14ac:dyDescent="0.25">
      <c r="A239" s="12">
        <v>45604</v>
      </c>
      <c r="B239" s="13" t="str">
        <f>TEXT(Budget233[[#This Row],[DATA]],"mmmm")&amp;" "&amp;TEXT(Budget233[[#This Row],[DATA]],"aaaa")</f>
        <v>novembre 2024</v>
      </c>
      <c r="C239" s="13" t="s">
        <v>8</v>
      </c>
      <c r="D239" s="15"/>
      <c r="E239" s="15">
        <v>47.77</v>
      </c>
      <c r="F239" s="15">
        <f>F238+Budget233[[#This Row],[ENTRATE]]-Budget233[[#This Row],[USCITE]]</f>
        <v>2673.2900000000004</v>
      </c>
    </row>
    <row r="240" spans="1:6" x14ac:dyDescent="0.25">
      <c r="A240" s="12">
        <v>45604</v>
      </c>
      <c r="B240" s="13" t="str">
        <f>TEXT(Budget233[[#This Row],[DATA]],"mmmm")&amp;" "&amp;TEXT(Budget233[[#This Row],[DATA]],"aaaa")</f>
        <v>novembre 2024</v>
      </c>
      <c r="C240" s="13" t="s">
        <v>23</v>
      </c>
      <c r="D240" s="15"/>
      <c r="E240" s="15">
        <v>12.7</v>
      </c>
      <c r="F240" s="15">
        <f>F239+Budget233[[#This Row],[ENTRATE]]-Budget233[[#This Row],[USCITE]]</f>
        <v>2660.5900000000006</v>
      </c>
    </row>
    <row r="241" spans="1:6" x14ac:dyDescent="0.25">
      <c r="A241" s="12">
        <v>45604</v>
      </c>
      <c r="B241" s="13" t="str">
        <f>TEXT(Budget233[[#This Row],[DATA]],"mmmm")&amp;" "&amp;TEXT(Budget233[[#This Row],[DATA]],"aaaa")</f>
        <v>novembre 2024</v>
      </c>
      <c r="C241" s="13" t="s">
        <v>125</v>
      </c>
      <c r="D241" s="15"/>
      <c r="E241" s="15">
        <v>22</v>
      </c>
      <c r="F241" s="15">
        <f>F240+Budget233[[#This Row],[ENTRATE]]-Budget233[[#This Row],[USCITE]]</f>
        <v>2638.5900000000006</v>
      </c>
    </row>
    <row r="242" spans="1:6" x14ac:dyDescent="0.25">
      <c r="A242" s="12">
        <v>45604</v>
      </c>
      <c r="B242" s="13" t="str">
        <f>TEXT(Budget233[[#This Row],[DATA]],"mmmm")&amp;" "&amp;TEXT(Budget233[[#This Row],[DATA]],"aaaa")</f>
        <v>novembre 2024</v>
      </c>
      <c r="C242" s="13" t="s">
        <v>7</v>
      </c>
      <c r="D242" s="15"/>
      <c r="E242" s="15">
        <v>28.09</v>
      </c>
      <c r="F242" s="15">
        <f>F241+Budget233[[#This Row],[ENTRATE]]-Budget233[[#This Row],[USCITE]]</f>
        <v>2610.5000000000005</v>
      </c>
    </row>
    <row r="243" spans="1:6" x14ac:dyDescent="0.25">
      <c r="A243" s="12">
        <v>45607</v>
      </c>
      <c r="B243" s="13" t="str">
        <f>TEXT(Budget233[[#This Row],[DATA]],"mmmm")&amp;" "&amp;TEXT(Budget233[[#This Row],[DATA]],"aaaa")</f>
        <v>novembre 2024</v>
      </c>
      <c r="C243" s="13" t="s">
        <v>11</v>
      </c>
      <c r="D243" s="15"/>
      <c r="E243" s="15">
        <f>500+0.5</f>
        <v>500.5</v>
      </c>
      <c r="F243" s="15">
        <f>F242+Budget233[[#This Row],[ENTRATE]]-Budget233[[#This Row],[USCITE]]</f>
        <v>2110.0000000000005</v>
      </c>
    </row>
    <row r="244" spans="1:6" x14ac:dyDescent="0.25">
      <c r="A244" s="12">
        <v>45607</v>
      </c>
      <c r="B244" s="13" t="str">
        <f>TEXT(Budget233[[#This Row],[DATA]],"mmmm")&amp;" "&amp;TEXT(Budget233[[#This Row],[DATA]],"aaaa")</f>
        <v>novembre 2024</v>
      </c>
      <c r="C244" s="14" t="s">
        <v>10</v>
      </c>
      <c r="D244" s="15">
        <v>1736</v>
      </c>
      <c r="E244" s="15"/>
      <c r="F244" s="15">
        <f>F243+Budget233[[#This Row],[ENTRATE]]-Budget233[[#This Row],[USCITE]]</f>
        <v>3846.0000000000005</v>
      </c>
    </row>
    <row r="245" spans="1:6" x14ac:dyDescent="0.25">
      <c r="A245" s="12">
        <v>45612</v>
      </c>
      <c r="B245" s="13" t="str">
        <f>TEXT(Budget233[[#This Row],[DATA]],"mmmm")&amp;" "&amp;TEXT(Budget233[[#This Row],[DATA]],"aaaa")</f>
        <v>novembre 2024</v>
      </c>
      <c r="C245" s="14" t="s">
        <v>14</v>
      </c>
      <c r="D245" s="15"/>
      <c r="E245" s="15">
        <v>35.159999999999997</v>
      </c>
      <c r="F245" s="15">
        <f>F244+Budget233[[#This Row],[ENTRATE]]-Budget233[[#This Row],[USCITE]]</f>
        <v>3810.8400000000006</v>
      </c>
    </row>
    <row r="246" spans="1:6" x14ac:dyDescent="0.25">
      <c r="A246" s="12">
        <v>45612</v>
      </c>
      <c r="B246" s="13" t="str">
        <f>TEXT(Budget233[[#This Row],[DATA]],"mmmm")&amp;" "&amp;TEXT(Budget233[[#This Row],[DATA]],"aaaa")</f>
        <v>novembre 2024</v>
      </c>
      <c r="C246" s="14" t="s">
        <v>12</v>
      </c>
      <c r="D246" s="15"/>
      <c r="E246" s="15">
        <v>10</v>
      </c>
      <c r="F246" s="15">
        <f>F245+Budget233[[#This Row],[ENTRATE]]-Budget233[[#This Row],[USCITE]]</f>
        <v>3800.8400000000006</v>
      </c>
    </row>
    <row r="247" spans="1:6" x14ac:dyDescent="0.25">
      <c r="A247" s="12">
        <v>45612</v>
      </c>
      <c r="B247" s="13" t="str">
        <f>TEXT(Budget233[[#This Row],[DATA]],"mmmm")&amp;" "&amp;TEXT(Budget233[[#This Row],[DATA]],"aaaa")</f>
        <v>novembre 2024</v>
      </c>
      <c r="C247" s="14" t="s">
        <v>14</v>
      </c>
      <c r="D247" s="15"/>
      <c r="E247" s="15">
        <v>26.25</v>
      </c>
      <c r="F247" s="15">
        <f>F246+Budget233[[#This Row],[ENTRATE]]-Budget233[[#This Row],[USCITE]]</f>
        <v>3774.5900000000006</v>
      </c>
    </row>
    <row r="248" spans="1:6" x14ac:dyDescent="0.25">
      <c r="A248" s="12">
        <v>45612</v>
      </c>
      <c r="B248" s="13" t="str">
        <f>TEXT(Budget233[[#This Row],[DATA]],"mmmm")&amp;" "&amp;TEXT(Budget233[[#This Row],[DATA]],"aaaa")</f>
        <v>novembre 2024</v>
      </c>
      <c r="C248" s="14" t="s">
        <v>15</v>
      </c>
      <c r="D248" s="15"/>
      <c r="E248" s="15">
        <v>96.12</v>
      </c>
      <c r="F248" s="15">
        <f>F247+Budget233[[#This Row],[ENTRATE]]-Budget233[[#This Row],[USCITE]]</f>
        <v>3678.4700000000007</v>
      </c>
    </row>
    <row r="249" spans="1:6" x14ac:dyDescent="0.25">
      <c r="A249" s="12">
        <v>45612</v>
      </c>
      <c r="B249" s="13" t="str">
        <f>TEXT(Budget233[[#This Row],[DATA]],"mmmm")&amp;" "&amp;TEXT(Budget233[[#This Row],[DATA]],"aaaa")</f>
        <v>novembre 2024</v>
      </c>
      <c r="C249" s="14" t="s">
        <v>6</v>
      </c>
      <c r="D249" s="15"/>
      <c r="E249" s="15">
        <f>6.3+2</f>
        <v>8.3000000000000007</v>
      </c>
      <c r="F249" s="15">
        <f>F248+Budget233[[#This Row],[ENTRATE]]-Budget233[[#This Row],[USCITE]]</f>
        <v>3670.1700000000005</v>
      </c>
    </row>
    <row r="250" spans="1:6" x14ac:dyDescent="0.25">
      <c r="A250" s="12">
        <v>45612</v>
      </c>
      <c r="B250" s="13" t="str">
        <f>TEXT(Budget233[[#This Row],[DATA]],"mmmm")&amp;" "&amp;TEXT(Budget233[[#This Row],[DATA]],"aaaa")</f>
        <v>novembre 2024</v>
      </c>
      <c r="C250" s="14" t="s">
        <v>14</v>
      </c>
      <c r="D250" s="15"/>
      <c r="E250" s="15">
        <v>99</v>
      </c>
      <c r="F250" s="15">
        <f>F249+Budget233[[#This Row],[ENTRATE]]-Budget233[[#This Row],[USCITE]]</f>
        <v>3571.1700000000005</v>
      </c>
    </row>
    <row r="251" spans="1:6" x14ac:dyDescent="0.25">
      <c r="A251" s="12">
        <v>45612</v>
      </c>
      <c r="B251" s="13" t="str">
        <f>TEXT(Budget233[[#This Row],[DATA]],"mmmm")&amp;" "&amp;TEXT(Budget233[[#This Row],[DATA]],"aaaa")</f>
        <v>novembre 2024</v>
      </c>
      <c r="C251" s="14" t="s">
        <v>13</v>
      </c>
      <c r="D251" s="15"/>
      <c r="E251" s="15">
        <v>4.25</v>
      </c>
      <c r="F251" s="15">
        <f>F250+Budget233[[#This Row],[ENTRATE]]-Budget233[[#This Row],[USCITE]]</f>
        <v>3566.9200000000005</v>
      </c>
    </row>
    <row r="252" spans="1:6" x14ac:dyDescent="0.25">
      <c r="A252" s="12">
        <v>45614</v>
      </c>
      <c r="B252" s="13" t="str">
        <f>TEXT(Budget233[[#This Row],[DATA]],"mmmm")&amp;" "&amp;TEXT(Budget233[[#This Row],[DATA]],"aaaa")</f>
        <v>novembre 2024</v>
      </c>
      <c r="C252" s="14" t="s">
        <v>36</v>
      </c>
      <c r="D252" s="15"/>
      <c r="E252" s="15">
        <v>360</v>
      </c>
      <c r="F252" s="15">
        <f>F251+Budget233[[#This Row],[ENTRATE]]-Budget233[[#This Row],[USCITE]]</f>
        <v>3206.9200000000005</v>
      </c>
    </row>
    <row r="253" spans="1:6" x14ac:dyDescent="0.25">
      <c r="A253" s="12">
        <v>45616</v>
      </c>
      <c r="B253" s="13" t="str">
        <f>TEXT(Budget233[[#This Row],[DATA]],"mmmm")&amp;" "&amp;TEXT(Budget233[[#This Row],[DATA]],"aaaa")</f>
        <v>novembre 2024</v>
      </c>
      <c r="C253" s="14" t="s">
        <v>7</v>
      </c>
      <c r="D253" s="15"/>
      <c r="E253" s="15">
        <v>27.72</v>
      </c>
      <c r="F253" s="15">
        <f>F252+Budget233[[#This Row],[ENTRATE]]-Budget233[[#This Row],[USCITE]]</f>
        <v>3179.2000000000007</v>
      </c>
    </row>
    <row r="254" spans="1:6" x14ac:dyDescent="0.25">
      <c r="A254" s="12">
        <v>45617</v>
      </c>
      <c r="B254" s="13" t="str">
        <f>TEXT(Budget233[[#This Row],[DATA]],"mmmm")&amp;" "&amp;TEXT(Budget233[[#This Row],[DATA]],"aaaa")</f>
        <v>novembre 2024</v>
      </c>
      <c r="C254" s="14" t="s">
        <v>17</v>
      </c>
      <c r="D254" s="15"/>
      <c r="E254" s="15">
        <v>83</v>
      </c>
      <c r="F254" s="15">
        <f>F253+Budget233[[#This Row],[ENTRATE]]-Budget233[[#This Row],[USCITE]]</f>
        <v>3096.2000000000007</v>
      </c>
    </row>
    <row r="255" spans="1:6" x14ac:dyDescent="0.25">
      <c r="A255" s="12">
        <v>45625</v>
      </c>
      <c r="B255" s="13" t="str">
        <f>TEXT(Budget233[[#This Row],[DATA]],"mmmm")&amp;" "&amp;TEXT(Budget233[[#This Row],[DATA]],"aaaa")</f>
        <v>novembre 2024</v>
      </c>
      <c r="C255" s="14" t="s">
        <v>9</v>
      </c>
      <c r="D255" s="15"/>
      <c r="E255" s="15">
        <v>100</v>
      </c>
      <c r="F255" s="15">
        <f>F254+Budget233[[#This Row],[ENTRATE]]-Budget233[[#This Row],[USCITE]]</f>
        <v>2996.2000000000007</v>
      </c>
    </row>
    <row r="256" spans="1:6" x14ac:dyDescent="0.25">
      <c r="A256" s="12">
        <v>45625</v>
      </c>
      <c r="B256" s="13" t="str">
        <f>TEXT(Budget233[[#This Row],[DATA]],"mmmm")&amp;" "&amp;TEXT(Budget233[[#This Row],[DATA]],"aaaa")</f>
        <v>novembre 2024</v>
      </c>
      <c r="C256" s="14" t="s">
        <v>18</v>
      </c>
      <c r="D256" s="15"/>
      <c r="E256" s="15">
        <v>307.01</v>
      </c>
      <c r="F256" s="15">
        <f>F255+Budget233[[#This Row],[ENTRATE]]-Budget233[[#This Row],[USCITE]]</f>
        <v>2689.1900000000005</v>
      </c>
    </row>
    <row r="257" spans="1:10" x14ac:dyDescent="0.25">
      <c r="A257" s="12">
        <v>45625</v>
      </c>
      <c r="B257" s="13" t="str">
        <f>TEXT(Budget233[[#This Row],[DATA]],"mmmm")&amp;" "&amp;TEXT(Budget233[[#This Row],[DATA]],"aaaa")</f>
        <v>novembre 2024</v>
      </c>
      <c r="C257" s="14" t="s">
        <v>56</v>
      </c>
      <c r="D257" s="15"/>
      <c r="E257" s="15">
        <v>117</v>
      </c>
      <c r="F257" s="15">
        <f>F256+Budget233[[#This Row],[ENTRATE]]-Budget233[[#This Row],[USCITE]]</f>
        <v>2572.1900000000005</v>
      </c>
    </row>
    <row r="258" spans="1:10" x14ac:dyDescent="0.25">
      <c r="A258" s="12">
        <v>45629</v>
      </c>
      <c r="B258" s="13" t="str">
        <f>TEXT(Budget233[[#This Row],[DATA]],"mmmm")&amp;" "&amp;TEXT(Budget233[[#This Row],[DATA]],"aaaa")</f>
        <v>dicembre 2024</v>
      </c>
      <c r="C258" s="14" t="s">
        <v>11</v>
      </c>
      <c r="D258" s="15"/>
      <c r="E258" s="15">
        <v>500.5</v>
      </c>
      <c r="F258" s="15">
        <f>F257+Budget233[[#This Row],[ENTRATE]]-Budget233[[#This Row],[USCITE]]</f>
        <v>2071.6900000000005</v>
      </c>
    </row>
    <row r="259" spans="1:10" x14ac:dyDescent="0.25">
      <c r="A259" s="12">
        <v>45630</v>
      </c>
      <c r="B259" s="13" t="str">
        <f>TEXT(Budget233[[#This Row],[DATA]],"mmmm")&amp;" "&amp;TEXT(Budget233[[#This Row],[DATA]],"aaaa")</f>
        <v>dicembre 2024</v>
      </c>
      <c r="C259" s="13" t="s">
        <v>36</v>
      </c>
      <c r="D259" s="15"/>
      <c r="E259" s="15">
        <v>1400</v>
      </c>
      <c r="F259" s="15">
        <f>F258+Budget233[[#This Row],[ENTRATE]]-Budget233[[#This Row],[USCITE]]</f>
        <v>671.69000000000051</v>
      </c>
    </row>
    <row r="260" spans="1:10" x14ac:dyDescent="0.25">
      <c r="A260" s="12">
        <v>45632</v>
      </c>
      <c r="B260" s="13" t="str">
        <f>TEXT(Budget233[[#This Row],[DATA]],"mmmm")&amp;" "&amp;TEXT(Budget233[[#This Row],[DATA]],"aaaa")</f>
        <v>dicembre 2024</v>
      </c>
      <c r="C260" s="13" t="s">
        <v>23</v>
      </c>
      <c r="D260" s="27"/>
      <c r="E260" s="27">
        <v>17.5</v>
      </c>
      <c r="F260" s="27">
        <f>F259+Budget233[[#This Row],[ENTRATE]]-Budget233[[#This Row],[USCITE]]</f>
        <v>654.19000000000051</v>
      </c>
    </row>
    <row r="261" spans="1:10" x14ac:dyDescent="0.25">
      <c r="A261" s="12">
        <v>45634</v>
      </c>
      <c r="B261" s="13" t="str">
        <f>TEXT(Budget233[[#This Row],[DATA]],"mmmm")&amp;" "&amp;TEXT(Budget233[[#This Row],[DATA]],"aaaa")</f>
        <v>dicembre 2024</v>
      </c>
      <c r="C261" s="13" t="s">
        <v>8</v>
      </c>
      <c r="D261" s="15"/>
      <c r="E261" s="15">
        <v>47.77</v>
      </c>
      <c r="F261" s="15">
        <f>F260+Budget233[[#This Row],[ENTRATE]]-Budget233[[#This Row],[USCITE]]</f>
        <v>606.42000000000053</v>
      </c>
    </row>
    <row r="262" spans="1:10" x14ac:dyDescent="0.25">
      <c r="A262" s="12">
        <v>45635</v>
      </c>
      <c r="B262" s="13" t="str">
        <f>TEXT(Budget233[[#This Row],[DATA]],"mmmm")&amp;" "&amp;TEXT(Budget233[[#This Row],[DATA]],"aaaa")</f>
        <v>dicembre 2024</v>
      </c>
      <c r="C262" s="13" t="s">
        <v>7</v>
      </c>
      <c r="D262" s="27"/>
      <c r="E262" s="27">
        <v>50.03</v>
      </c>
      <c r="F262" s="27">
        <f>F261+Budget233[[#This Row],[ENTRATE]]-Budget233[[#This Row],[USCITE]]</f>
        <v>556.39000000000055</v>
      </c>
    </row>
    <row r="263" spans="1:10" x14ac:dyDescent="0.25">
      <c r="A263" s="12">
        <v>45636</v>
      </c>
      <c r="B263" s="13" t="str">
        <f>TEXT(Budget233[[#This Row],[DATA]],"mmmm")&amp;" "&amp;TEXT(Budget233[[#This Row],[DATA]],"aaaa")</f>
        <v>dicembre 2024</v>
      </c>
      <c r="C263" s="14" t="s">
        <v>10</v>
      </c>
      <c r="D263" s="15">
        <v>1936</v>
      </c>
      <c r="E263" s="15"/>
      <c r="F263" s="15">
        <f>F262+Budget233[[#This Row],[ENTRATE]]-Budget233[[#This Row],[USCITE]]</f>
        <v>2492.3900000000003</v>
      </c>
    </row>
    <row r="264" spans="1:10" x14ac:dyDescent="0.25">
      <c r="A264" s="12">
        <v>45638</v>
      </c>
      <c r="B264" s="13" t="str">
        <f>TEXT(Budget233[[#This Row],[DATA]],"mmmm")&amp;" "&amp;TEXT(Budget233[[#This Row],[DATA]],"aaaa")</f>
        <v>dicembre 2024</v>
      </c>
      <c r="C264" s="13" t="s">
        <v>11</v>
      </c>
      <c r="D264" s="27"/>
      <c r="E264" s="27">
        <v>500.5</v>
      </c>
      <c r="F264" s="27">
        <f>F263+Budget233[[#This Row],[ENTRATE]]-Budget233[[#This Row],[USCITE]]</f>
        <v>1991.8900000000003</v>
      </c>
      <c r="H264" s="5" t="s">
        <v>72</v>
      </c>
      <c r="I264" t="s">
        <v>73</v>
      </c>
      <c r="J264" t="s">
        <v>74</v>
      </c>
    </row>
    <row r="265" spans="1:10" x14ac:dyDescent="0.25">
      <c r="A265" s="12">
        <v>45638</v>
      </c>
      <c r="B265" s="13" t="str">
        <f>TEXT(Budget233[[#This Row],[DATA]],"mmmm")&amp;" "&amp;TEXT(Budget233[[#This Row],[DATA]],"aaaa")</f>
        <v>dicembre 2024</v>
      </c>
      <c r="C265" s="13" t="s">
        <v>7</v>
      </c>
      <c r="D265" s="27"/>
      <c r="E265" s="27">
        <v>27.27</v>
      </c>
      <c r="F265" s="27">
        <f>F264+Budget233[[#This Row],[ENTRATE]]-Budget233[[#This Row],[USCITE]]</f>
        <v>1964.6200000000003</v>
      </c>
      <c r="H265" s="6" t="s">
        <v>126</v>
      </c>
      <c r="I265" s="7">
        <v>2332.19</v>
      </c>
      <c r="J265" s="7">
        <v>2201.19</v>
      </c>
    </row>
    <row r="266" spans="1:10" x14ac:dyDescent="0.25">
      <c r="A266" s="12">
        <v>45639</v>
      </c>
      <c r="B266" s="13" t="str">
        <f>TEXT(Budget233[[#This Row],[DATA]],"mmmm")&amp;" "&amp;TEXT(Budget233[[#This Row],[DATA]],"aaaa")</f>
        <v>dicembre 2024</v>
      </c>
      <c r="C266" s="13" t="s">
        <v>9</v>
      </c>
      <c r="D266" s="27"/>
      <c r="E266" s="27">
        <v>100</v>
      </c>
      <c r="F266" s="27">
        <f>F265+Budget233[[#This Row],[ENTRATE]]-Budget233[[#This Row],[USCITE]]</f>
        <v>1864.6200000000003</v>
      </c>
      <c r="H266" s="6" t="s">
        <v>127</v>
      </c>
      <c r="I266" s="7">
        <v>1981</v>
      </c>
      <c r="J266" s="7">
        <v>1429.75</v>
      </c>
    </row>
    <row r="267" spans="1:10" x14ac:dyDescent="0.25">
      <c r="A267" s="12">
        <v>45641</v>
      </c>
      <c r="B267" s="13" t="str">
        <f>TEXT(Budget233[[#This Row],[DATA]],"mmmm")&amp;" "&amp;TEXT(Budget233[[#This Row],[DATA]],"aaaa")</f>
        <v>dicembre 2024</v>
      </c>
      <c r="C267" s="13" t="s">
        <v>128</v>
      </c>
      <c r="D267" s="15"/>
      <c r="E267" s="27">
        <v>196.25</v>
      </c>
      <c r="F267" s="27">
        <f>F266+Budget233[[#This Row],[ENTRATE]]-Budget233[[#This Row],[USCITE]]</f>
        <v>1668.3700000000003</v>
      </c>
      <c r="H267" s="6" t="s">
        <v>129</v>
      </c>
      <c r="I267" s="7">
        <v>1750</v>
      </c>
      <c r="J267" s="7">
        <v>2050.61</v>
      </c>
    </row>
    <row r="268" spans="1:10" x14ac:dyDescent="0.25">
      <c r="A268" s="12">
        <v>45641</v>
      </c>
      <c r="B268" s="13" t="str">
        <f>TEXT(Budget233[[#This Row],[DATA]],"mmmm")&amp;" "&amp;TEXT(Budget233[[#This Row],[DATA]],"aaaa")</f>
        <v>dicembre 2024</v>
      </c>
      <c r="C268" s="13" t="s">
        <v>21</v>
      </c>
      <c r="D268" s="15"/>
      <c r="E268" s="27">
        <v>89.9</v>
      </c>
      <c r="F268" s="27">
        <f>F267+Budget233[[#This Row],[ENTRATE]]-Budget233[[#This Row],[USCITE]]</f>
        <v>1578.4700000000003</v>
      </c>
      <c r="H268" s="6" t="s">
        <v>130</v>
      </c>
      <c r="I268" s="7">
        <v>1750</v>
      </c>
      <c r="J268" s="7">
        <v>1378.29</v>
      </c>
    </row>
    <row r="269" spans="1:10" x14ac:dyDescent="0.25">
      <c r="A269" s="12">
        <v>45642</v>
      </c>
      <c r="B269" s="13" t="str">
        <f>TEXT(Budget233[[#This Row],[DATA]],"mmmm")&amp;" "&amp;TEXT(Budget233[[#This Row],[DATA]],"aaaa")</f>
        <v>dicembre 2024</v>
      </c>
      <c r="C269" s="14" t="s">
        <v>70</v>
      </c>
      <c r="D269" s="15"/>
      <c r="E269" s="27">
        <v>40</v>
      </c>
      <c r="F269" s="27">
        <f>F268+Budget233[[#This Row],[ENTRATE]]-Budget233[[#This Row],[USCITE]]</f>
        <v>1538.4700000000003</v>
      </c>
      <c r="H269" s="6" t="s">
        <v>131</v>
      </c>
      <c r="I269" s="7">
        <v>1987</v>
      </c>
      <c r="J269" s="7">
        <v>2279.9700000000003</v>
      </c>
    </row>
    <row r="270" spans="1:10" x14ac:dyDescent="0.25">
      <c r="A270" s="12">
        <v>45642</v>
      </c>
      <c r="B270" s="13" t="str">
        <f>TEXT(Budget233[[#This Row],[DATA]],"mmmm")&amp;" "&amp;TEXT(Budget233[[#This Row],[DATA]],"aaaa")</f>
        <v>dicembre 2024</v>
      </c>
      <c r="C270" s="14" t="s">
        <v>15</v>
      </c>
      <c r="D270" s="15"/>
      <c r="E270" s="27">
        <v>96.12</v>
      </c>
      <c r="F270" s="27">
        <f>F269+Budget233[[#This Row],[ENTRATE]]-Budget233[[#This Row],[USCITE]]</f>
        <v>1442.3500000000004</v>
      </c>
      <c r="H270" s="6" t="s">
        <v>132</v>
      </c>
      <c r="I270" s="7">
        <v>11826</v>
      </c>
      <c r="J270" s="7">
        <v>6327.0400000000009</v>
      </c>
    </row>
    <row r="271" spans="1:10" x14ac:dyDescent="0.25">
      <c r="A271" s="12">
        <v>45642</v>
      </c>
      <c r="B271" s="13" t="str">
        <f>TEXT(Budget233[[#This Row],[DATA]],"mmmm")&amp;" "&amp;TEXT(Budget233[[#This Row],[DATA]],"aaaa")</f>
        <v>dicembre 2024</v>
      </c>
      <c r="C271" s="14" t="s">
        <v>6</v>
      </c>
      <c r="D271" s="15"/>
      <c r="E271" s="15">
        <f>6.3+2</f>
        <v>8.3000000000000007</v>
      </c>
      <c r="F271" s="27">
        <f>F270+Budget233[[#This Row],[ENTRATE]]-Budget233[[#This Row],[USCITE]]</f>
        <v>1434.0500000000004</v>
      </c>
      <c r="H271" s="6" t="s">
        <v>133</v>
      </c>
      <c r="I271" s="7">
        <v>2979</v>
      </c>
      <c r="J271" s="7">
        <v>3019.8899999999994</v>
      </c>
    </row>
    <row r="272" spans="1:10" x14ac:dyDescent="0.25">
      <c r="A272" s="12">
        <v>45642</v>
      </c>
      <c r="B272" s="13" t="str">
        <f>TEXT(Budget233[[#This Row],[DATA]],"mmmm")&amp;" "&amp;TEXT(Budget233[[#This Row],[DATA]],"aaaa")</f>
        <v>dicembre 2024</v>
      </c>
      <c r="C272" s="14" t="s">
        <v>24</v>
      </c>
      <c r="D272" s="15"/>
      <c r="E272" s="15">
        <v>57</v>
      </c>
      <c r="F272" s="27">
        <f>F271+Budget233[[#This Row],[ENTRATE]]-Budget233[[#This Row],[USCITE]]</f>
        <v>1377.0500000000004</v>
      </c>
      <c r="H272" s="6" t="s">
        <v>134</v>
      </c>
      <c r="I272" s="7">
        <v>1831</v>
      </c>
      <c r="J272" s="7">
        <v>1398.05</v>
      </c>
    </row>
    <row r="273" spans="1:10" x14ac:dyDescent="0.25">
      <c r="A273" s="12">
        <v>45642</v>
      </c>
      <c r="B273" s="13" t="str">
        <f>TEXT(Budget233[[#This Row],[DATA]],"mmmm")&amp;" "&amp;TEXT(Budget233[[#This Row],[DATA]],"aaaa")</f>
        <v>dicembre 2024</v>
      </c>
      <c r="C273" s="14" t="s">
        <v>12</v>
      </c>
      <c r="D273" s="15"/>
      <c r="E273" s="15">
        <v>10</v>
      </c>
      <c r="F273" s="27">
        <f>F272+Budget233[[#This Row],[ENTRATE]]-Budget233[[#This Row],[USCITE]]</f>
        <v>1367.0500000000004</v>
      </c>
      <c r="H273" s="6" t="s">
        <v>135</v>
      </c>
      <c r="I273" s="7">
        <v>1830</v>
      </c>
      <c r="J273" s="7">
        <v>2581.83</v>
      </c>
    </row>
    <row r="274" spans="1:10" x14ac:dyDescent="0.25">
      <c r="A274" s="12">
        <v>45642</v>
      </c>
      <c r="B274" s="13" t="str">
        <f>TEXT(Budget233[[#This Row],[DATA]],"mmmm")&amp;" "&amp;TEXT(Budget233[[#This Row],[DATA]],"aaaa")</f>
        <v>dicembre 2024</v>
      </c>
      <c r="C274" s="14" t="s">
        <v>12</v>
      </c>
      <c r="D274" s="27"/>
      <c r="E274" s="27">
        <v>10</v>
      </c>
      <c r="F274" s="27">
        <f>F273+Budget233[[#This Row],[ENTRATE]]-Budget233[[#This Row],[USCITE]]</f>
        <v>1357.0500000000004</v>
      </c>
      <c r="H274" s="6" t="s">
        <v>136</v>
      </c>
      <c r="I274" s="7">
        <v>1826</v>
      </c>
      <c r="J274" s="7">
        <v>3074.7599999999993</v>
      </c>
    </row>
    <row r="275" spans="1:10" x14ac:dyDescent="0.25">
      <c r="A275" s="12">
        <v>45642</v>
      </c>
      <c r="B275" s="13" t="str">
        <f>TEXT(Budget233[[#This Row],[DATA]],"mmmm")&amp;" "&amp;TEXT(Budget233[[#This Row],[DATA]],"aaaa")</f>
        <v>dicembre 2024</v>
      </c>
      <c r="C275" s="14" t="s">
        <v>13</v>
      </c>
      <c r="D275" s="15"/>
      <c r="E275" s="15">
        <v>4.25</v>
      </c>
      <c r="F275" s="27">
        <f>F274+Budget233[[#This Row],[ENTRATE]]-Budget233[[#This Row],[USCITE]]</f>
        <v>1352.8000000000004</v>
      </c>
      <c r="H275" s="6" t="s">
        <v>137</v>
      </c>
      <c r="I275" s="7">
        <v>1736</v>
      </c>
      <c r="J275" s="7">
        <v>2083.87</v>
      </c>
    </row>
    <row r="276" spans="1:10" x14ac:dyDescent="0.25">
      <c r="A276" s="12">
        <v>45642</v>
      </c>
      <c r="B276" s="13" t="str">
        <f>TEXT(Budget233[[#This Row],[DATA]],"mmmm")&amp;" "&amp;TEXT(Budget233[[#This Row],[DATA]],"aaaa")</f>
        <v>dicembre 2024</v>
      </c>
      <c r="C276" s="14" t="s">
        <v>23</v>
      </c>
      <c r="D276" s="15"/>
      <c r="E276" s="15">
        <v>7.9</v>
      </c>
      <c r="F276" s="27">
        <f>F275+Budget233[[#This Row],[ENTRATE]]-Budget233[[#This Row],[USCITE]]</f>
        <v>1344.9000000000003</v>
      </c>
      <c r="H276" s="6" t="s">
        <v>138</v>
      </c>
      <c r="I276" s="7">
        <v>3813</v>
      </c>
      <c r="J276" s="7">
        <v>5160.8100000000013</v>
      </c>
    </row>
    <row r="277" spans="1:10" x14ac:dyDescent="0.25">
      <c r="A277" s="12">
        <v>45642</v>
      </c>
      <c r="B277" s="13" t="str">
        <f>TEXT(Budget233[[#This Row],[DATA]],"mmmm")&amp;" "&amp;TEXT(Budget233[[#This Row],[DATA]],"aaaa")</f>
        <v>dicembre 2024</v>
      </c>
      <c r="C277" s="14" t="s">
        <v>24</v>
      </c>
      <c r="D277" s="15"/>
      <c r="E277" s="15">
        <v>56</v>
      </c>
      <c r="F277" s="27">
        <f>F276+Budget233[[#This Row],[ENTRATE]]-Budget233[[#This Row],[USCITE]]</f>
        <v>1288.9000000000003</v>
      </c>
      <c r="H277" s="6" t="s">
        <v>89</v>
      </c>
      <c r="I277" s="7">
        <v>35641.19</v>
      </c>
      <c r="J277" s="7">
        <v>32986.06</v>
      </c>
    </row>
    <row r="278" spans="1:10" x14ac:dyDescent="0.25">
      <c r="A278" s="12">
        <v>45642</v>
      </c>
      <c r="B278" s="13" t="str">
        <f>TEXT(Budget233[[#This Row],[DATA]],"mmmm")&amp;" "&amp;TEXT(Budget233[[#This Row],[DATA]],"aaaa")</f>
        <v>dicembre 2024</v>
      </c>
      <c r="C278" s="14" t="s">
        <v>11</v>
      </c>
      <c r="D278" s="15"/>
      <c r="E278" s="15">
        <v>500.5</v>
      </c>
      <c r="F278" s="27">
        <f>F277+Budget233[[#This Row],[ENTRATE]]-Budget233[[#This Row],[USCITE]]</f>
        <v>788.40000000000032</v>
      </c>
    </row>
    <row r="279" spans="1:10" x14ac:dyDescent="0.25">
      <c r="A279" s="12">
        <v>45646</v>
      </c>
      <c r="B279" s="13" t="str">
        <f>TEXT(Budget233[[#This Row],[DATA]],"mmmm")&amp;" "&amp;TEXT(Budget233[[#This Row],[DATA]],"aaaa")</f>
        <v>dicembre 2024</v>
      </c>
      <c r="C279" s="14" t="s">
        <v>69</v>
      </c>
      <c r="D279" s="15">
        <v>1877</v>
      </c>
      <c r="E279" s="15"/>
      <c r="F279" s="27">
        <f>F278+Budget233[[#This Row],[ENTRATE]]-Budget233[[#This Row],[USCITE]]</f>
        <v>2665.4000000000005</v>
      </c>
      <c r="H279" s="6"/>
      <c r="I279" s="7"/>
      <c r="J279" s="7"/>
    </row>
    <row r="280" spans="1:10" x14ac:dyDescent="0.25">
      <c r="A280" s="12">
        <v>45648</v>
      </c>
      <c r="B280" s="13" t="str">
        <f>TEXT(Budget233[[#This Row],[DATA]],"mmmm")&amp;" "&amp;TEXT(Budget233[[#This Row],[DATA]],"aaaa")</f>
        <v>dicembre 2024</v>
      </c>
      <c r="C280" s="14" t="s">
        <v>17</v>
      </c>
      <c r="D280" s="15"/>
      <c r="E280" s="15">
        <v>83</v>
      </c>
      <c r="F280" s="27">
        <f>F279+Budget233[[#This Row],[ENTRATE]]-Budget233[[#This Row],[USCITE]]</f>
        <v>2582.4000000000005</v>
      </c>
      <c r="H280" s="6"/>
      <c r="I280" s="7"/>
      <c r="J280" s="7"/>
    </row>
    <row r="281" spans="1:10" x14ac:dyDescent="0.25">
      <c r="A281" s="12">
        <v>45650</v>
      </c>
      <c r="B281" s="13" t="str">
        <f>TEXT(Budget233[[#This Row],[DATA]],"mmmm")&amp;" "&amp;TEXT(Budget233[[#This Row],[DATA]],"aaaa")</f>
        <v>dicembre 2024</v>
      </c>
      <c r="C281" s="14" t="s">
        <v>11</v>
      </c>
      <c r="D281" s="15"/>
      <c r="E281" s="15">
        <v>500.5</v>
      </c>
      <c r="F281" s="27">
        <f>F280+Budget233[[#This Row],[ENTRATE]]-Budget233[[#This Row],[USCITE]]</f>
        <v>2081.9000000000005</v>
      </c>
      <c r="H281" s="6"/>
      <c r="I281" s="7"/>
      <c r="J281" s="7"/>
    </row>
    <row r="282" spans="1:10" x14ac:dyDescent="0.25">
      <c r="A282" s="12">
        <v>45653</v>
      </c>
      <c r="B282" s="13" t="str">
        <f>TEXT(Budget233[[#This Row],[DATA]],"mmmm")&amp;" "&amp;TEXT(Budget233[[#This Row],[DATA]],"aaaa")</f>
        <v>dicembre 2024</v>
      </c>
      <c r="C282" s="14" t="s">
        <v>7</v>
      </c>
      <c r="D282" s="15"/>
      <c r="E282" s="15">
        <v>50.01</v>
      </c>
      <c r="F282" s="27">
        <f>F281+Budget233[[#This Row],[ENTRATE]]-Budget233[[#This Row],[USCITE]]</f>
        <v>2031.8900000000006</v>
      </c>
      <c r="J282" s="21">
        <f>GETPIVOTDATA("Somma di ENTRATE",$H$264)-GETPIVOTDATA("Somma di USCITE",$H$264)</f>
        <v>2655.1300000000047</v>
      </c>
    </row>
    <row r="283" spans="1:10" x14ac:dyDescent="0.25">
      <c r="A283" s="12">
        <v>45657</v>
      </c>
      <c r="B283" s="13" t="str">
        <f>TEXT(Budget233[[#This Row],[DATA]],"mmmm")&amp;" "&amp;TEXT(Budget233[[#This Row],[DATA]],"aaaa")</f>
        <v>dicembre 2024</v>
      </c>
      <c r="C283" s="14" t="s">
        <v>11</v>
      </c>
      <c r="D283" s="15"/>
      <c r="E283" s="15">
        <v>500.5</v>
      </c>
      <c r="F283" s="27">
        <f>F282+Budget233[[#This Row],[ENTRATE]]-Budget233[[#This Row],[USCITE]]</f>
        <v>1531.3900000000006</v>
      </c>
    </row>
    <row r="284" spans="1:10" x14ac:dyDescent="0.25">
      <c r="A284" s="12">
        <v>45657</v>
      </c>
      <c r="B284" s="13" t="str">
        <f>TEXT(Budget233[[#This Row],[DATA]],"mmmm")&amp;" "&amp;TEXT(Budget233[[#This Row],[DATA]],"aaaa")</f>
        <v>dicembre 2024</v>
      </c>
      <c r="C284" s="14" t="s">
        <v>18</v>
      </c>
      <c r="D284" s="15"/>
      <c r="E284" s="15">
        <v>307.01</v>
      </c>
      <c r="F284" s="27">
        <f>F283+Budget233[[#This Row],[ENTRATE]]-Budget233[[#This Row],[USCITE]]</f>
        <v>1224.3800000000006</v>
      </c>
    </row>
    <row r="285" spans="1:10" x14ac:dyDescent="0.25">
      <c r="A285" s="18" t="s">
        <v>90</v>
      </c>
      <c r="B285" s="18"/>
      <c r="C285" s="18"/>
      <c r="D285" s="20">
        <f>SUBTOTAL(109,Budget233[ENTRATE])</f>
        <v>35641.19</v>
      </c>
      <c r="E285" s="20">
        <f>SUBTOTAL(109,Budget233[USCITE])</f>
        <v>32986.060000000005</v>
      </c>
      <c r="F285" s="20">
        <f>Budget233[[#Totals],[ENTRATE]]-Budget233[[#Totals],[USCITE]]</f>
        <v>2655.1299999999974</v>
      </c>
      <c r="H285" t="s">
        <v>139</v>
      </c>
      <c r="I285" s="7">
        <f>500+500-500+2000-500+500-500-500</f>
        <v>1500</v>
      </c>
    </row>
    <row r="288" spans="1:10" x14ac:dyDescent="0.25">
      <c r="C288" s="2"/>
      <c r="D288" s="2"/>
      <c r="E288" s="2"/>
    </row>
    <row r="289" spans="2:5" x14ac:dyDescent="0.25">
      <c r="B289" s="26"/>
      <c r="C289" s="2"/>
      <c r="D289" s="2"/>
      <c r="E289" s="2"/>
    </row>
    <row r="290" spans="2:5" x14ac:dyDescent="0.25">
      <c r="B290" s="26"/>
      <c r="C290" s="2"/>
    </row>
    <row r="291" spans="2:5" x14ac:dyDescent="0.25">
      <c r="B291" s="37"/>
      <c r="C291" s="2"/>
    </row>
    <row r="292" spans="2:5" x14ac:dyDescent="0.25">
      <c r="C292" s="2"/>
      <c r="D292" s="2"/>
      <c r="E292" s="2"/>
    </row>
  </sheetData>
  <conditionalFormatting sqref="A2:F284">
    <cfRule type="expression" dxfId="54" priority="3">
      <formula>$A2&lt;TODAY()</formula>
    </cfRule>
    <cfRule type="expression" dxfId="53" priority="4">
      <formula>$A2=TODAY()</formula>
    </cfRule>
  </conditionalFormatting>
  <conditionalFormatting pivot="1" sqref="J265:J276">
    <cfRule type="expression" dxfId="52" priority="2">
      <formula>$J265&lt;$I265</formula>
    </cfRule>
  </conditionalFormatting>
  <conditionalFormatting pivot="1" sqref="J265:J276">
    <cfRule type="expression" dxfId="51" priority="1">
      <formula>$J265&gt;$I265</formula>
    </cfRule>
  </conditionalFormatting>
  <pageMargins left="0.7" right="0.7" top="0.75" bottom="0.75" header="0.3" footer="0.3"/>
  <pageSetup paperSize="9" orientation="portrait"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AAD8-19AA-4320-AC4D-A3E8A9133D63}">
  <dimension ref="A1:Z321"/>
  <sheetViews>
    <sheetView tabSelected="1" zoomScale="115" zoomScaleNormal="115" workbookViewId="0">
      <pane ySplit="1" topLeftCell="A2" activePane="bottomLeft" state="frozen"/>
      <selection activeCell="D1" sqref="D1"/>
      <selection pane="bottomLeft" activeCell="D1" sqref="D1"/>
    </sheetView>
  </sheetViews>
  <sheetFormatPr defaultRowHeight="15" x14ac:dyDescent="0.25"/>
  <cols>
    <col min="1" max="1" width="27.28515625" bestFit="1" customWidth="1"/>
    <col min="2" max="2" width="23.7109375" bestFit="1" customWidth="1"/>
    <col min="3" max="3" width="19.5703125" bestFit="1" customWidth="1"/>
    <col min="4" max="6" width="13" bestFit="1" customWidth="1"/>
    <col min="7" max="7" width="4.28515625" customWidth="1"/>
    <col min="8" max="8" width="18" bestFit="1" customWidth="1"/>
    <col min="9" max="9" width="18.28515625" bestFit="1" customWidth="1"/>
    <col min="10" max="10" width="16.42578125" bestFit="1" customWidth="1"/>
    <col min="11" max="11" width="3.85546875" customWidth="1"/>
    <col min="12" max="12" width="23.7109375" bestFit="1" customWidth="1"/>
    <col min="13" max="13" width="21.7109375" bestFit="1" customWidth="1"/>
    <col min="14" max="14" width="13.28515625" bestFit="1" customWidth="1"/>
    <col min="15" max="15" width="11.28515625" bestFit="1" customWidth="1"/>
    <col min="16" max="16" width="10.85546875" bestFit="1" customWidth="1"/>
    <col min="17" max="17" width="12.140625" bestFit="1" customWidth="1"/>
    <col min="18" max="18" width="11.7109375" bestFit="1" customWidth="1"/>
    <col min="19" max="19" width="10.7109375" bestFit="1" customWidth="1"/>
    <col min="20" max="20" width="11.7109375" bestFit="1" customWidth="1"/>
    <col min="21" max="21" width="14.7109375" bestFit="1" customWidth="1"/>
    <col min="22" max="22" width="12.28515625" bestFit="1" customWidth="1"/>
    <col min="23" max="23" width="14.7109375" bestFit="1" customWidth="1"/>
    <col min="24" max="24" width="14" bestFit="1" customWidth="1"/>
    <col min="25" max="25" width="12.85546875" bestFit="1" customWidth="1"/>
    <col min="26" max="26" width="17.85546875" bestFit="1" customWidth="1"/>
    <col min="27" max="27" width="6" bestFit="1" customWidth="1"/>
    <col min="29" max="29" width="6" bestFit="1" customWidth="1"/>
    <col min="30" max="30" width="9.7109375" bestFit="1" customWidth="1"/>
    <col min="31" max="31" width="9.42578125" bestFit="1" customWidth="1"/>
    <col min="32" max="32" width="14.5703125" bestFit="1" customWidth="1"/>
    <col min="33" max="33" width="6.85546875" bestFit="1" customWidth="1"/>
    <col min="34" max="34" width="11.85546875" bestFit="1" customWidth="1"/>
    <col min="35" max="35" width="10.28515625" bestFit="1" customWidth="1"/>
    <col min="36" max="36" width="13.7109375" bestFit="1" customWidth="1"/>
    <col min="37" max="37" width="7" bestFit="1" customWidth="1"/>
    <col min="38" max="38" width="15.85546875" bestFit="1" customWidth="1"/>
    <col min="39" max="39" width="12.7109375" bestFit="1" customWidth="1"/>
    <col min="40" max="40" width="18.28515625" bestFit="1" customWidth="1"/>
  </cols>
  <sheetData>
    <row r="1" spans="1:6" x14ac:dyDescent="0.25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6" x14ac:dyDescent="0.25">
      <c r="A2" s="12">
        <v>44927</v>
      </c>
      <c r="B2" s="13" t="str">
        <f>TEXT(Budget23[[#This Row],[DATA]],"mmmm")&amp;" "&amp;TEXT(Budget23[[#This Row],[DATA]],"aaaa")</f>
        <v>gennaio 2023</v>
      </c>
      <c r="C2" s="14" t="s">
        <v>5</v>
      </c>
      <c r="D2" s="15">
        <v>1312.45</v>
      </c>
      <c r="E2" s="15"/>
      <c r="F2" s="15">
        <f>Budget23[[#This Row],[ENTRATE]]</f>
        <v>1312.45</v>
      </c>
    </row>
    <row r="3" spans="1:6" x14ac:dyDescent="0.25">
      <c r="A3" s="12">
        <v>44928</v>
      </c>
      <c r="B3" s="13" t="str">
        <f>TEXT(Budget23[[#This Row],[DATA]],"mmmm")&amp;" "&amp;TEXT(Budget23[[#This Row],[DATA]],"aaaa")</f>
        <v>gennaio 2023</v>
      </c>
      <c r="C3" s="14" t="s">
        <v>9</v>
      </c>
      <c r="D3" s="15"/>
      <c r="E3" s="15">
        <v>102</v>
      </c>
      <c r="F3" s="15">
        <f>F2+Budget23[[#This Row],[ENTRATE]]-Budget23[[#This Row],[USCITE]]</f>
        <v>1210.45</v>
      </c>
    </row>
    <row r="4" spans="1:6" x14ac:dyDescent="0.25">
      <c r="A4" s="12">
        <v>44928</v>
      </c>
      <c r="B4" s="13" t="str">
        <f>TEXT(Budget23[[#This Row],[DATA]],"mmmm")&amp;" "&amp;TEXT(Budget23[[#This Row],[DATA]],"aaaa")</f>
        <v>gennaio 2023</v>
      </c>
      <c r="C4" s="14" t="s">
        <v>7</v>
      </c>
      <c r="D4" s="15"/>
      <c r="E4" s="15">
        <v>60.03</v>
      </c>
      <c r="F4" s="15">
        <f>F3+Budget23[[#This Row],[ENTRATE]]-Budget23[[#This Row],[USCITE]]</f>
        <v>1150.42</v>
      </c>
    </row>
    <row r="5" spans="1:6" x14ac:dyDescent="0.25">
      <c r="A5" s="12">
        <v>44928</v>
      </c>
      <c r="B5" s="13" t="str">
        <f>TEXT(Budget23[[#This Row],[DATA]],"mmmm")&amp;" "&amp;TEXT(Budget23[[#This Row],[DATA]],"aaaa")</f>
        <v>gennaio 2023</v>
      </c>
      <c r="C5" s="14" t="s">
        <v>26</v>
      </c>
      <c r="D5" s="15"/>
      <c r="E5" s="15">
        <v>50.1</v>
      </c>
      <c r="F5" s="15">
        <f>F4+Budget23[[#This Row],[ENTRATE]]-Budget23[[#This Row],[USCITE]]</f>
        <v>1100.3200000000002</v>
      </c>
    </row>
    <row r="6" spans="1:6" x14ac:dyDescent="0.25">
      <c r="A6" s="12">
        <v>44928</v>
      </c>
      <c r="B6" s="13" t="str">
        <f>TEXT(Budget23[[#This Row],[DATA]],"mmmm")&amp;" "&amp;TEXT(Budget23[[#This Row],[DATA]],"aaaa")</f>
        <v>gennaio 2023</v>
      </c>
      <c r="C6" s="14" t="s">
        <v>57</v>
      </c>
      <c r="D6" s="15"/>
      <c r="E6" s="15">
        <v>8.4</v>
      </c>
      <c r="F6" s="15">
        <f>F5+Budget23[[#This Row],[ENTRATE]]-Budget23[[#This Row],[USCITE]]</f>
        <v>1091.92</v>
      </c>
    </row>
    <row r="7" spans="1:6" x14ac:dyDescent="0.25">
      <c r="A7" s="12">
        <v>44930</v>
      </c>
      <c r="B7" s="13" t="str">
        <f>TEXT(Budget23[[#This Row],[DATA]],"mmmm")&amp;" "&amp;TEXT(Budget23[[#This Row],[DATA]],"aaaa")</f>
        <v>gennaio 2023</v>
      </c>
      <c r="C7" s="14" t="s">
        <v>6</v>
      </c>
      <c r="D7" s="15"/>
      <c r="E7" s="15">
        <v>2.7</v>
      </c>
      <c r="F7" s="15">
        <f>F6+Budget23[[#This Row],[ENTRATE]]-Budget23[[#This Row],[USCITE]]</f>
        <v>1089.22</v>
      </c>
    </row>
    <row r="8" spans="1:6" x14ac:dyDescent="0.25">
      <c r="A8" s="12">
        <v>44935</v>
      </c>
      <c r="B8" s="13" t="str">
        <f>TEXT(Budget23[[#This Row],[DATA]],"mmmm")&amp;" "&amp;TEXT(Budget23[[#This Row],[DATA]],"aaaa")</f>
        <v>gennaio 2023</v>
      </c>
      <c r="C8" s="13" t="s">
        <v>140</v>
      </c>
      <c r="D8" s="15"/>
      <c r="E8" s="15">
        <v>71.8</v>
      </c>
      <c r="F8" s="15">
        <f>F7+Budget23[[#This Row],[ENTRATE]]-Budget23[[#This Row],[USCITE]]</f>
        <v>1017.4200000000001</v>
      </c>
    </row>
    <row r="9" spans="1:6" x14ac:dyDescent="0.25">
      <c r="A9" s="12">
        <v>44935</v>
      </c>
      <c r="B9" s="13" t="str">
        <f>TEXT(Budget23[[#This Row],[DATA]],"mmmm")&amp;" "&amp;TEXT(Budget23[[#This Row],[DATA]],"aaaa")</f>
        <v>gennaio 2023</v>
      </c>
      <c r="C9" s="13" t="s">
        <v>66</v>
      </c>
      <c r="D9" s="15"/>
      <c r="E9" s="15">
        <v>46</v>
      </c>
      <c r="F9" s="15">
        <f>F8+Budget23[[#This Row],[ENTRATE]]-Budget23[[#This Row],[USCITE]]</f>
        <v>971.42000000000007</v>
      </c>
    </row>
    <row r="10" spans="1:6" x14ac:dyDescent="0.25">
      <c r="A10" s="12">
        <v>44935</v>
      </c>
      <c r="B10" s="13" t="str">
        <f>TEXT(Budget23[[#This Row],[DATA]],"mmmm")&amp;" "&amp;TEXT(Budget23[[#This Row],[DATA]],"aaaa")</f>
        <v>gennaio 2023</v>
      </c>
      <c r="C10" s="13" t="s">
        <v>8</v>
      </c>
      <c r="D10" s="15"/>
      <c r="E10" s="15">
        <v>44.87</v>
      </c>
      <c r="F10" s="15">
        <f>F9+Budget23[[#This Row],[ENTRATE]]-Budget23[[#This Row],[USCITE]]</f>
        <v>926.55000000000007</v>
      </c>
    </row>
    <row r="11" spans="1:6" x14ac:dyDescent="0.25">
      <c r="A11" s="12">
        <v>44935</v>
      </c>
      <c r="B11" s="13" t="str">
        <f>TEXT(Budget23[[#This Row],[DATA]],"mmmm")&amp;" "&amp;TEXT(Budget23[[#This Row],[DATA]],"aaaa")</f>
        <v>gennaio 2023</v>
      </c>
      <c r="C11" s="13" t="s">
        <v>7</v>
      </c>
      <c r="D11" s="15"/>
      <c r="E11" s="15">
        <v>29.11</v>
      </c>
      <c r="F11" s="15">
        <f>F10+Budget23[[#This Row],[ENTRATE]]-Budget23[[#This Row],[USCITE]]</f>
        <v>897.44</v>
      </c>
    </row>
    <row r="12" spans="1:6" x14ac:dyDescent="0.25">
      <c r="A12" s="12">
        <v>44936</v>
      </c>
      <c r="B12" s="13" t="str">
        <f>TEXT(Budget23[[#This Row],[DATA]],"mmmm")&amp;" "&amp;TEXT(Budget23[[#This Row],[DATA]],"aaaa")</f>
        <v>gennaio 2023</v>
      </c>
      <c r="C12" s="14" t="s">
        <v>10</v>
      </c>
      <c r="D12" s="15">
        <v>1853</v>
      </c>
      <c r="E12" s="15"/>
      <c r="F12" s="15">
        <f>F11+Budget23[[#This Row],[ENTRATE]]-Budget23[[#This Row],[USCITE]]</f>
        <v>2750.44</v>
      </c>
    </row>
    <row r="13" spans="1:6" x14ac:dyDescent="0.25">
      <c r="A13" s="12">
        <v>44937</v>
      </c>
      <c r="B13" s="13" t="str">
        <f>TEXT(Budget23[[#This Row],[DATA]],"mmmm")&amp;" "&amp;TEXT(Budget23[[#This Row],[DATA]],"aaaa")</f>
        <v>gennaio 2023</v>
      </c>
      <c r="C13" s="14" t="s">
        <v>11</v>
      </c>
      <c r="D13" s="15"/>
      <c r="E13" s="15">
        <v>500.5</v>
      </c>
      <c r="F13" s="15">
        <f>F12+Budget23[[#This Row],[ENTRATE]]-Budget23[[#This Row],[USCITE]]</f>
        <v>2249.94</v>
      </c>
    </row>
    <row r="14" spans="1:6" x14ac:dyDescent="0.25">
      <c r="A14" s="12">
        <v>44938</v>
      </c>
      <c r="B14" s="13" t="str">
        <f>TEXT(Budget23[[#This Row],[DATA]],"mmmm")&amp;" "&amp;TEXT(Budget23[[#This Row],[DATA]],"aaaa")</f>
        <v>gennaio 2023</v>
      </c>
      <c r="C14" s="14" t="s">
        <v>6</v>
      </c>
      <c r="D14" s="15"/>
      <c r="E14" s="15">
        <v>19.28</v>
      </c>
      <c r="F14" s="15">
        <f>F13+Budget23[[#This Row],[ENTRATE]]-Budget23[[#This Row],[USCITE]]</f>
        <v>2230.66</v>
      </c>
    </row>
    <row r="15" spans="1:6" x14ac:dyDescent="0.25">
      <c r="A15" s="12">
        <v>44942</v>
      </c>
      <c r="B15" s="13" t="str">
        <f>TEXT(Budget23[[#This Row],[DATA]],"mmmm")&amp;" "&amp;TEXT(Budget23[[#This Row],[DATA]],"aaaa")</f>
        <v>gennaio 2023</v>
      </c>
      <c r="C15" s="14" t="s">
        <v>6</v>
      </c>
      <c r="D15" s="15"/>
      <c r="E15" s="15">
        <v>2</v>
      </c>
      <c r="F15" s="15">
        <f>F14+Budget23[[#This Row],[ENTRATE]]-Budget23[[#This Row],[USCITE]]</f>
        <v>2228.66</v>
      </c>
    </row>
    <row r="16" spans="1:6" x14ac:dyDescent="0.25">
      <c r="A16" s="12">
        <v>44942</v>
      </c>
      <c r="B16" s="13" t="str">
        <f>TEXT(Budget23[[#This Row],[DATA]],"mmmm")&amp;" "&amp;TEXT(Budget23[[#This Row],[DATA]],"aaaa")</f>
        <v>gennaio 2023</v>
      </c>
      <c r="C16" s="14" t="s">
        <v>141</v>
      </c>
      <c r="D16" s="15"/>
      <c r="E16" s="15">
        <v>87.94</v>
      </c>
      <c r="F16" s="15">
        <f>F15+Budget23[[#This Row],[ENTRATE]]-Budget23[[#This Row],[USCITE]]</f>
        <v>2140.7199999999998</v>
      </c>
    </row>
    <row r="17" spans="1:6" x14ac:dyDescent="0.25">
      <c r="A17" s="12">
        <v>44942</v>
      </c>
      <c r="B17" s="13" t="str">
        <f>TEXT(Budget23[[#This Row],[DATA]],"mmmm")&amp;" "&amp;TEXT(Budget23[[#This Row],[DATA]],"aaaa")</f>
        <v>gennaio 2023</v>
      </c>
      <c r="C17" s="14" t="s">
        <v>142</v>
      </c>
      <c r="D17" s="15"/>
      <c r="E17" s="15">
        <v>15.5</v>
      </c>
      <c r="F17" s="15">
        <f>F16+Budget23[[#This Row],[ENTRATE]]-Budget23[[#This Row],[USCITE]]</f>
        <v>2125.2199999999998</v>
      </c>
    </row>
    <row r="18" spans="1:6" x14ac:dyDescent="0.25">
      <c r="A18" s="12">
        <v>44942</v>
      </c>
      <c r="B18" s="13" t="str">
        <f>TEXT(Budget23[[#This Row],[DATA]],"mmmm")&amp;" "&amp;TEXT(Budget23[[#This Row],[DATA]],"aaaa")</f>
        <v>gennaio 2023</v>
      </c>
      <c r="C18" s="14" t="s">
        <v>66</v>
      </c>
      <c r="D18" s="15"/>
      <c r="E18" s="15">
        <v>41</v>
      </c>
      <c r="F18" s="15">
        <f>F17+Budget23[[#This Row],[ENTRATE]]-Budget23[[#This Row],[USCITE]]</f>
        <v>2084.2199999999998</v>
      </c>
    </row>
    <row r="19" spans="1:6" x14ac:dyDescent="0.25">
      <c r="A19" s="12">
        <v>44942</v>
      </c>
      <c r="B19" s="13" t="str">
        <f>TEXT(Budget23[[#This Row],[DATA]],"mmmm")&amp;" "&amp;TEXT(Budget23[[#This Row],[DATA]],"aaaa")</f>
        <v>gennaio 2023</v>
      </c>
      <c r="C19" s="14" t="s">
        <v>14</v>
      </c>
      <c r="D19" s="15"/>
      <c r="E19" s="15">
        <v>49.9</v>
      </c>
      <c r="F19" s="15">
        <f>F18+Budget23[[#This Row],[ENTRATE]]-Budget23[[#This Row],[USCITE]]</f>
        <v>2034.3199999999997</v>
      </c>
    </row>
    <row r="20" spans="1:6" x14ac:dyDescent="0.25">
      <c r="A20" s="12">
        <v>44942</v>
      </c>
      <c r="B20" s="13" t="str">
        <f>TEXT(Budget23[[#This Row],[DATA]],"mmmm")&amp;" "&amp;TEXT(Budget23[[#This Row],[DATA]],"aaaa")</f>
        <v>gennaio 2023</v>
      </c>
      <c r="C20" s="14" t="s">
        <v>13</v>
      </c>
      <c r="D20" s="15"/>
      <c r="E20" s="15">
        <v>3.65</v>
      </c>
      <c r="F20" s="15">
        <f>F19+Budget23[[#This Row],[ENTRATE]]-Budget23[[#This Row],[USCITE]]</f>
        <v>2030.6699999999996</v>
      </c>
    </row>
    <row r="21" spans="1:6" x14ac:dyDescent="0.25">
      <c r="A21" s="12">
        <v>44942</v>
      </c>
      <c r="B21" s="13" t="str">
        <f>TEXT(Budget23[[#This Row],[DATA]],"mmmm")&amp;" "&amp;TEXT(Budget23[[#This Row],[DATA]],"aaaa")</f>
        <v>gennaio 2023</v>
      </c>
      <c r="C21" s="14" t="s">
        <v>143</v>
      </c>
      <c r="D21" s="15"/>
      <c r="E21" s="15">
        <v>197.95</v>
      </c>
      <c r="F21" s="15">
        <f>F20+Budget23[[#This Row],[ENTRATE]]-Budget23[[#This Row],[USCITE]]</f>
        <v>1832.7199999999996</v>
      </c>
    </row>
    <row r="22" spans="1:6" x14ac:dyDescent="0.25">
      <c r="A22" s="12">
        <v>44942</v>
      </c>
      <c r="B22" s="13" t="str">
        <f>TEXT(Budget23[[#This Row],[DATA]],"mmmm")&amp;" "&amp;TEXT(Budget23[[#This Row],[DATA]],"aaaa")</f>
        <v>gennaio 2023</v>
      </c>
      <c r="C22" s="14" t="s">
        <v>14</v>
      </c>
      <c r="D22" s="15"/>
      <c r="E22" s="15">
        <v>24.28</v>
      </c>
      <c r="F22" s="15">
        <f>F21+Budget23[[#This Row],[ENTRATE]]-Budget23[[#This Row],[USCITE]]</f>
        <v>1808.4399999999996</v>
      </c>
    </row>
    <row r="23" spans="1:6" x14ac:dyDescent="0.25">
      <c r="A23" s="12">
        <v>44942</v>
      </c>
      <c r="B23" s="13" t="str">
        <f>TEXT(Budget23[[#This Row],[DATA]],"mmmm")&amp;" "&amp;TEXT(Budget23[[#This Row],[DATA]],"aaaa")</f>
        <v>gennaio 2023</v>
      </c>
      <c r="C23" s="14" t="s">
        <v>144</v>
      </c>
      <c r="D23" s="15"/>
      <c r="E23" s="15">
        <v>56</v>
      </c>
      <c r="F23" s="15">
        <f>F22+Budget23[[#This Row],[ENTRATE]]-Budget23[[#This Row],[USCITE]]</f>
        <v>1752.4399999999996</v>
      </c>
    </row>
    <row r="24" spans="1:6" x14ac:dyDescent="0.25">
      <c r="A24" s="12">
        <v>44943</v>
      </c>
      <c r="B24" s="13" t="str">
        <f>TEXT(Budget23[[#This Row],[DATA]],"mmmm")&amp;" "&amp;TEXT(Budget23[[#This Row],[DATA]],"aaaa")</f>
        <v>gennaio 2023</v>
      </c>
      <c r="C24" s="14" t="s">
        <v>7</v>
      </c>
      <c r="D24" s="15"/>
      <c r="E24" s="15">
        <v>35</v>
      </c>
      <c r="F24" s="15">
        <f>F23+Budget23[[#This Row],[ENTRATE]]-Budget23[[#This Row],[USCITE]]</f>
        <v>1717.4399999999996</v>
      </c>
    </row>
    <row r="25" spans="1:6" x14ac:dyDescent="0.25">
      <c r="A25" s="12">
        <v>44943</v>
      </c>
      <c r="B25" s="13" t="str">
        <f>TEXT(Budget23[[#This Row],[DATA]],"mmmm")&amp;" "&amp;TEXT(Budget23[[#This Row],[DATA]],"aaaa")</f>
        <v>gennaio 2023</v>
      </c>
      <c r="C25" s="14" t="s">
        <v>7</v>
      </c>
      <c r="D25" s="15"/>
      <c r="E25" s="15">
        <v>28.81</v>
      </c>
      <c r="F25" s="15">
        <f>F24+Budget23[[#This Row],[ENTRATE]]-Budget23[[#This Row],[USCITE]]</f>
        <v>1688.6299999999997</v>
      </c>
    </row>
    <row r="26" spans="1:6" x14ac:dyDescent="0.25">
      <c r="A26" s="12">
        <v>44950</v>
      </c>
      <c r="B26" s="13" t="str">
        <f>TEXT(Budget23[[#This Row],[DATA]],"mmmm")&amp;" "&amp;TEXT(Budget23[[#This Row],[DATA]],"aaaa")</f>
        <v>gennaio 2023</v>
      </c>
      <c r="C26" s="14" t="s">
        <v>11</v>
      </c>
      <c r="D26" s="15"/>
      <c r="E26" s="15">
        <v>500.5</v>
      </c>
      <c r="F26" s="15">
        <f>F25+Budget23[[#This Row],[ENTRATE]]-Budget23[[#This Row],[USCITE]]</f>
        <v>1188.1299999999997</v>
      </c>
    </row>
    <row r="27" spans="1:6" x14ac:dyDescent="0.25">
      <c r="A27" s="12">
        <v>44950</v>
      </c>
      <c r="B27" s="13" t="str">
        <f>TEXT(Budget23[[#This Row],[DATA]],"mmmm")&amp;" "&amp;TEXT(Budget23[[#This Row],[DATA]],"aaaa")</f>
        <v>gennaio 2023</v>
      </c>
      <c r="C27" s="14" t="s">
        <v>7</v>
      </c>
      <c r="D27" s="15"/>
      <c r="E27" s="15">
        <v>49.66</v>
      </c>
      <c r="F27" s="15">
        <f>F26+Budget23[[#This Row],[ENTRATE]]-Budget23[[#This Row],[USCITE]]</f>
        <v>1138.4699999999996</v>
      </c>
    </row>
    <row r="28" spans="1:6" x14ac:dyDescent="0.25">
      <c r="A28" s="12">
        <v>44957</v>
      </c>
      <c r="B28" s="13" t="str">
        <f>TEXT(Budget23[[#This Row],[DATA]],"mmmm")&amp;" "&amp;TEXT(Budget23[[#This Row],[DATA]],"aaaa")</f>
        <v>gennaio 2023</v>
      </c>
      <c r="C28" s="14" t="s">
        <v>18</v>
      </c>
      <c r="D28" s="15"/>
      <c r="E28" s="15">
        <v>307.01</v>
      </c>
      <c r="F28" s="15">
        <f>F27+Budget23[[#This Row],[ENTRATE]]-Budget23[[#This Row],[USCITE]]</f>
        <v>831.45999999999958</v>
      </c>
    </row>
    <row r="29" spans="1:6" x14ac:dyDescent="0.25">
      <c r="A29" s="12">
        <v>44957</v>
      </c>
      <c r="B29" s="13" t="str">
        <f>TEXT(Budget23[[#This Row],[DATA]],"mmmm")&amp;" "&amp;TEXT(Budget23[[#This Row],[DATA]],"aaaa")</f>
        <v>gennaio 2023</v>
      </c>
      <c r="C29" s="14" t="s">
        <v>11</v>
      </c>
      <c r="D29" s="15"/>
      <c r="E29" s="15">
        <v>500.5</v>
      </c>
      <c r="F29" s="15">
        <f>F28+Budget23[[#This Row],[ENTRATE]]-Budget23[[#This Row],[USCITE]]</f>
        <v>330.95999999999958</v>
      </c>
    </row>
    <row r="30" spans="1:6" x14ac:dyDescent="0.25">
      <c r="A30" s="12">
        <v>44960</v>
      </c>
      <c r="B30" s="13" t="str">
        <f>TEXT(Budget23[[#This Row],[DATA]],"mmmm")&amp;" "&amp;TEXT(Budget23[[#This Row],[DATA]],"aaaa")</f>
        <v>febbraio 2023</v>
      </c>
      <c r="C30" s="14" t="s">
        <v>7</v>
      </c>
      <c r="D30" s="15"/>
      <c r="E30" s="15">
        <v>35.78</v>
      </c>
      <c r="F30" s="15">
        <f>F29+Budget23[[#This Row],[ENTRATE]]-Budget23[[#This Row],[USCITE]]</f>
        <v>295.17999999999961</v>
      </c>
    </row>
    <row r="31" spans="1:6" x14ac:dyDescent="0.25">
      <c r="A31" s="12">
        <v>44964</v>
      </c>
      <c r="B31" s="13" t="str">
        <f>TEXT(Budget23[[#This Row],[DATA]],"mmmm")&amp;" "&amp;TEXT(Budget23[[#This Row],[DATA]],"aaaa")</f>
        <v>febbraio 2023</v>
      </c>
      <c r="C31" s="14" t="s">
        <v>7</v>
      </c>
      <c r="D31" s="15"/>
      <c r="E31" s="15">
        <v>30.21</v>
      </c>
      <c r="F31" s="15">
        <f>F30+Budget23[[#This Row],[ENTRATE]]-Budget23[[#This Row],[USCITE]]</f>
        <v>264.96999999999963</v>
      </c>
    </row>
    <row r="32" spans="1:6" x14ac:dyDescent="0.25">
      <c r="A32" s="12">
        <v>44965</v>
      </c>
      <c r="B32" s="13" t="str">
        <f>TEXT(Budget23[[#This Row],[DATA]],"mmmm")&amp;" "&amp;TEXT(Budget23[[#This Row],[DATA]],"aaaa")</f>
        <v>febbraio 2023</v>
      </c>
      <c r="C32" s="14" t="s">
        <v>8</v>
      </c>
      <c r="D32" s="15"/>
      <c r="E32" s="15">
        <v>44.87</v>
      </c>
      <c r="F32" s="15">
        <f>F31+Budget23[[#This Row],[ENTRATE]]-Budget23[[#This Row],[USCITE]]</f>
        <v>220.09999999999962</v>
      </c>
    </row>
    <row r="33" spans="1:6" x14ac:dyDescent="0.25">
      <c r="A33" s="12">
        <v>44965</v>
      </c>
      <c r="B33" s="13" t="str">
        <f>TEXT(Budget23[[#This Row],[DATA]],"mmmm")&amp;" "&amp;TEXT(Budget23[[#This Row],[DATA]],"aaaa")</f>
        <v>febbraio 2023</v>
      </c>
      <c r="C33" s="14" t="s">
        <v>71</v>
      </c>
      <c r="D33" s="15"/>
      <c r="E33" s="15">
        <v>6.2</v>
      </c>
      <c r="F33" s="15">
        <f>F32+Budget23[[#This Row],[ENTRATE]]-Budget23[[#This Row],[USCITE]]</f>
        <v>213.89999999999964</v>
      </c>
    </row>
    <row r="34" spans="1:6" x14ac:dyDescent="0.25">
      <c r="A34" s="12">
        <v>44965</v>
      </c>
      <c r="B34" s="13" t="str">
        <f>TEXT(Budget23[[#This Row],[DATA]],"mmmm")&amp;" "&amp;TEXT(Budget23[[#This Row],[DATA]],"aaaa")</f>
        <v>febbraio 2023</v>
      </c>
      <c r="C34" s="14" t="s">
        <v>39</v>
      </c>
      <c r="D34" s="15"/>
      <c r="E34" s="15">
        <v>26</v>
      </c>
      <c r="F34" s="15">
        <f>F33+Budget23[[#This Row],[ENTRATE]]-Budget23[[#This Row],[USCITE]]</f>
        <v>187.89999999999964</v>
      </c>
    </row>
    <row r="35" spans="1:6" x14ac:dyDescent="0.25">
      <c r="A35" s="12">
        <v>44967</v>
      </c>
      <c r="B35" s="13" t="str">
        <f>TEXT(Budget23[[#This Row],[DATA]],"mmmm")&amp;" "&amp;TEXT(Budget23[[#This Row],[DATA]],"aaaa")</f>
        <v>febbraio 2023</v>
      </c>
      <c r="C35" s="14" t="s">
        <v>10</v>
      </c>
      <c r="D35" s="15">
        <v>1120</v>
      </c>
      <c r="E35" s="15"/>
      <c r="F35" s="15">
        <f>F34+Budget23[[#This Row],[ENTRATE]]-Budget23[[#This Row],[USCITE]]</f>
        <v>1307.8999999999996</v>
      </c>
    </row>
    <row r="36" spans="1:6" x14ac:dyDescent="0.25">
      <c r="A36" s="12">
        <v>44970</v>
      </c>
      <c r="B36" s="13" t="str">
        <f>TEXT(Budget23[[#This Row],[DATA]],"mmmm")&amp;" "&amp;TEXT(Budget23[[#This Row],[DATA]],"aaaa")</f>
        <v>febbraio 2023</v>
      </c>
      <c r="C36" s="14" t="s">
        <v>11</v>
      </c>
      <c r="D36" s="15"/>
      <c r="E36" s="15">
        <v>500.5</v>
      </c>
      <c r="F36" s="15">
        <f>F35+Budget23[[#This Row],[ENTRATE]]-Budget23[[#This Row],[USCITE]]</f>
        <v>807.39999999999964</v>
      </c>
    </row>
    <row r="37" spans="1:6" x14ac:dyDescent="0.25">
      <c r="A37" s="12">
        <v>44973</v>
      </c>
      <c r="B37" s="13" t="str">
        <f>TEXT(Budget23[[#This Row],[DATA]],"mmmm")&amp;" "&amp;TEXT(Budget23[[#This Row],[DATA]],"aaaa")</f>
        <v>febbraio 2023</v>
      </c>
      <c r="C37" s="14" t="s">
        <v>145</v>
      </c>
      <c r="D37" s="15"/>
      <c r="E37" s="15">
        <v>2</v>
      </c>
      <c r="F37" s="15">
        <f>F36+Budget23[[#This Row],[ENTRATE]]-Budget23[[#This Row],[USCITE]]</f>
        <v>805.39999999999964</v>
      </c>
    </row>
    <row r="38" spans="1:6" x14ac:dyDescent="0.25">
      <c r="A38" s="12">
        <v>44973</v>
      </c>
      <c r="B38" s="13" t="str">
        <f>TEXT(Budget23[[#This Row],[DATA]],"mmmm")&amp;" "&amp;TEXT(Budget23[[#This Row],[DATA]],"aaaa")</f>
        <v>febbraio 2023</v>
      </c>
      <c r="C38" s="14" t="s">
        <v>13</v>
      </c>
      <c r="D38" s="15"/>
      <c r="E38" s="15">
        <v>3.65</v>
      </c>
      <c r="F38" s="15">
        <f>F37+Budget23[[#This Row],[ENTRATE]]-Budget23[[#This Row],[USCITE]]</f>
        <v>801.74999999999966</v>
      </c>
    </row>
    <row r="39" spans="1:6" x14ac:dyDescent="0.25">
      <c r="A39" s="12">
        <v>44973</v>
      </c>
      <c r="B39" s="13" t="str">
        <f>TEXT(Budget23[[#This Row],[DATA]],"mmmm")&amp;" "&amp;TEXT(Budget23[[#This Row],[DATA]],"aaaa")</f>
        <v>febbraio 2023</v>
      </c>
      <c r="C39" s="14" t="s">
        <v>146</v>
      </c>
      <c r="D39" s="15"/>
      <c r="E39" s="15">
        <v>87.93</v>
      </c>
      <c r="F39" s="15">
        <f>F38+Budget23[[#This Row],[ENTRATE]]-Budget23[[#This Row],[USCITE]]</f>
        <v>713.81999999999971</v>
      </c>
    </row>
    <row r="40" spans="1:6" x14ac:dyDescent="0.25">
      <c r="A40" s="12">
        <v>44973</v>
      </c>
      <c r="B40" s="13" t="str">
        <f>TEXT(Budget23[[#This Row],[DATA]],"mmmm")&amp;" "&amp;TEXT(Budget23[[#This Row],[DATA]],"aaaa")</f>
        <v>febbraio 2023</v>
      </c>
      <c r="C40" s="14" t="s">
        <v>14</v>
      </c>
      <c r="D40" s="15"/>
      <c r="E40" s="15">
        <v>49.74</v>
      </c>
      <c r="F40" s="15">
        <f>F39+Budget23[[#This Row],[ENTRATE]]-Budget23[[#This Row],[USCITE]]</f>
        <v>664.0799999999997</v>
      </c>
    </row>
    <row r="41" spans="1:6" x14ac:dyDescent="0.25">
      <c r="A41" s="12">
        <v>44973</v>
      </c>
      <c r="B41" s="13" t="str">
        <f>TEXT(Budget23[[#This Row],[DATA]],"mmmm")&amp;" "&amp;TEXT(Budget23[[#This Row],[DATA]],"aaaa")</f>
        <v>febbraio 2023</v>
      </c>
      <c r="C41" s="14" t="s">
        <v>14</v>
      </c>
      <c r="D41" s="15"/>
      <c r="E41" s="15">
        <v>12.99</v>
      </c>
      <c r="F41" s="15">
        <f>F40+Budget23[[#This Row],[ENTRATE]]-Budget23[[#This Row],[USCITE]]</f>
        <v>651.08999999999969</v>
      </c>
    </row>
    <row r="42" spans="1:6" x14ac:dyDescent="0.25">
      <c r="A42" s="12">
        <v>44973</v>
      </c>
      <c r="B42" s="13" t="str">
        <f>TEXT(Budget23[[#This Row],[DATA]],"mmmm")&amp;" "&amp;TEXT(Budget23[[#This Row],[DATA]],"aaaa")</f>
        <v>febbraio 2023</v>
      </c>
      <c r="C42" s="14" t="s">
        <v>21</v>
      </c>
      <c r="D42" s="15"/>
      <c r="E42" s="15">
        <v>114.1</v>
      </c>
      <c r="F42" s="15">
        <f>F41+Budget23[[#This Row],[ENTRATE]]-Budget23[[#This Row],[USCITE]]</f>
        <v>536.98999999999967</v>
      </c>
    </row>
    <row r="43" spans="1:6" x14ac:dyDescent="0.25">
      <c r="A43" s="12">
        <v>44973</v>
      </c>
      <c r="B43" s="13" t="str">
        <f>TEXT(Budget23[[#This Row],[DATA]],"mmmm")&amp;" "&amp;TEXT(Budget23[[#This Row],[DATA]],"aaaa")</f>
        <v>febbraio 2023</v>
      </c>
      <c r="C43" s="14" t="s">
        <v>147</v>
      </c>
      <c r="D43" s="15"/>
      <c r="E43" s="15">
        <v>71.989999999999995</v>
      </c>
      <c r="F43" s="15">
        <f>F42+Budget23[[#This Row],[ENTRATE]]-Budget23[[#This Row],[USCITE]]</f>
        <v>464.99999999999966</v>
      </c>
    </row>
    <row r="44" spans="1:6" x14ac:dyDescent="0.25">
      <c r="A44" s="12">
        <v>44975</v>
      </c>
      <c r="B44" s="13" t="str">
        <f>TEXT(Budget23[[#This Row],[DATA]],"mmmm")&amp;" "&amp;TEXT(Budget23[[#This Row],[DATA]],"aaaa")</f>
        <v>febbraio 2023</v>
      </c>
      <c r="C44" s="14" t="s">
        <v>9</v>
      </c>
      <c r="D44" s="15"/>
      <c r="E44" s="15">
        <v>50</v>
      </c>
      <c r="F44" s="15">
        <f>F43+Budget23[[#This Row],[ENTRATE]]-Budget23[[#This Row],[USCITE]]</f>
        <v>414.99999999999966</v>
      </c>
    </row>
    <row r="45" spans="1:6" x14ac:dyDescent="0.25">
      <c r="A45" s="16">
        <v>44985</v>
      </c>
      <c r="B45" s="17" t="str">
        <f>TEXT(Budget23[[#This Row],[DATA]],"mmmm")&amp;" "&amp;TEXT(Budget23[[#This Row],[DATA]],"aaaa")</f>
        <v>febbraio 2023</v>
      </c>
      <c r="C45" s="18" t="s">
        <v>18</v>
      </c>
      <c r="D45" s="19"/>
      <c r="E45" s="15">
        <v>307.01</v>
      </c>
      <c r="F45" s="15">
        <f>F44+Budget23[[#This Row],[ENTRATE]]-Budget23[[#This Row],[USCITE]]</f>
        <v>107.98999999999967</v>
      </c>
    </row>
    <row r="46" spans="1:6" x14ac:dyDescent="0.25">
      <c r="A46" s="16">
        <v>44994</v>
      </c>
      <c r="B46" s="17" t="str">
        <f>TEXT(Budget23[[#This Row],[DATA]],"mmmm")&amp;" "&amp;TEXT(Budget23[[#This Row],[DATA]],"aaaa")</f>
        <v>marzo 2023</v>
      </c>
      <c r="C46" s="17" t="s">
        <v>8</v>
      </c>
      <c r="D46" s="19"/>
      <c r="E46" s="19">
        <v>44.87</v>
      </c>
      <c r="F46" s="15">
        <f>F45+Budget23[[#This Row],[ENTRATE]]-Budget23[[#This Row],[USCITE]]</f>
        <v>63.119999999999671</v>
      </c>
    </row>
    <row r="47" spans="1:6" x14ac:dyDescent="0.25">
      <c r="A47" s="12">
        <v>45000</v>
      </c>
      <c r="B47" s="13" t="str">
        <f>TEXT(Budget23[[#This Row],[DATA]],"mmmm")&amp;" "&amp;TEXT(Budget23[[#This Row],[DATA]],"aaaa")</f>
        <v>marzo 2023</v>
      </c>
      <c r="C47" s="14" t="s">
        <v>10</v>
      </c>
      <c r="D47" s="15">
        <v>2010</v>
      </c>
      <c r="E47" s="15"/>
      <c r="F47" s="15">
        <f>F46+Budget23[[#This Row],[ENTRATE]]-Budget23[[#This Row],[USCITE]]</f>
        <v>2073.12</v>
      </c>
    </row>
    <row r="48" spans="1:6" x14ac:dyDescent="0.25">
      <c r="A48" s="12">
        <v>45000</v>
      </c>
      <c r="B48" s="13" t="str">
        <f>TEXT(Budget23[[#This Row],[DATA]],"mmmm")&amp;" "&amp;TEXT(Budget23[[#This Row],[DATA]],"aaaa")</f>
        <v>marzo 2023</v>
      </c>
      <c r="C48" s="14" t="s">
        <v>11</v>
      </c>
      <c r="D48" s="15"/>
      <c r="E48" s="15">
        <v>1010</v>
      </c>
      <c r="F48" s="15">
        <f>F47+Budget23[[#This Row],[ENTRATE]]-Budget23[[#This Row],[USCITE]]</f>
        <v>1063.1199999999999</v>
      </c>
    </row>
    <row r="49" spans="1:6" x14ac:dyDescent="0.25">
      <c r="A49" s="12">
        <v>45000</v>
      </c>
      <c r="B49" s="13" t="str">
        <f>TEXT(Budget23[[#This Row],[DATA]],"mmmm")&amp;" "&amp;TEXT(Budget23[[#This Row],[DATA]],"aaaa")</f>
        <v>marzo 2023</v>
      </c>
      <c r="C49" s="14" t="s">
        <v>6</v>
      </c>
      <c r="D49" s="15"/>
      <c r="E49" s="15">
        <v>2</v>
      </c>
      <c r="F49" s="15">
        <f>F48+Budget23[[#This Row],[ENTRATE]]-Budget23[[#This Row],[USCITE]]</f>
        <v>1061.1199999999999</v>
      </c>
    </row>
    <row r="50" spans="1:6" x14ac:dyDescent="0.25">
      <c r="A50" s="12">
        <v>45000</v>
      </c>
      <c r="B50" s="13" t="str">
        <f>TEXT(Budget23[[#This Row],[DATA]],"mmmm")&amp;" "&amp;TEXT(Budget23[[#This Row],[DATA]],"aaaa")</f>
        <v>marzo 2023</v>
      </c>
      <c r="C50" s="14" t="s">
        <v>13</v>
      </c>
      <c r="D50" s="15"/>
      <c r="E50" s="15">
        <v>3.65</v>
      </c>
      <c r="F50" s="15">
        <f>F49+Budget23[[#This Row],[ENTRATE]]-Budget23[[#This Row],[USCITE]]</f>
        <v>1057.4699999999998</v>
      </c>
    </row>
    <row r="51" spans="1:6" x14ac:dyDescent="0.25">
      <c r="A51" s="12">
        <v>45000</v>
      </c>
      <c r="B51" s="13" t="str">
        <f>TEXT(Budget23[[#This Row],[DATA]],"mmmm")&amp;" "&amp;TEXT(Budget23[[#This Row],[DATA]],"aaaa")</f>
        <v>marzo 2023</v>
      </c>
      <c r="C51" s="14" t="s">
        <v>148</v>
      </c>
      <c r="D51" s="15"/>
      <c r="E51" s="15">
        <v>57.2</v>
      </c>
      <c r="F51" s="15">
        <f>F50+Budget23[[#This Row],[ENTRATE]]-Budget23[[#This Row],[USCITE]]</f>
        <v>1000.2699999999998</v>
      </c>
    </row>
    <row r="52" spans="1:6" x14ac:dyDescent="0.25">
      <c r="A52" s="12">
        <v>45000</v>
      </c>
      <c r="B52" s="13" t="str">
        <f>TEXT(Budget23[[#This Row],[DATA]],"mmmm")&amp;" "&amp;TEXT(Budget23[[#This Row],[DATA]],"aaaa")</f>
        <v>marzo 2023</v>
      </c>
      <c r="C52" s="14" t="s">
        <v>14</v>
      </c>
      <c r="D52" s="15"/>
      <c r="E52" s="15">
        <v>82.38</v>
      </c>
      <c r="F52" s="15">
        <f>F51+Budget23[[#This Row],[ENTRATE]]-Budget23[[#This Row],[USCITE]]</f>
        <v>917.88999999999976</v>
      </c>
    </row>
    <row r="53" spans="1:6" x14ac:dyDescent="0.25">
      <c r="A53" s="12">
        <v>45000</v>
      </c>
      <c r="B53" s="13" t="str">
        <f>TEXT(Budget23[[#This Row],[DATA]],"mmmm")&amp;" "&amp;TEXT(Budget23[[#This Row],[DATA]],"aaaa")</f>
        <v>marzo 2023</v>
      </c>
      <c r="C53" s="14" t="s">
        <v>149</v>
      </c>
      <c r="D53" s="15"/>
      <c r="E53" s="15">
        <v>40.799999999999997</v>
      </c>
      <c r="F53" s="15">
        <f>F52+Budget23[[#This Row],[ENTRATE]]-Budget23[[#This Row],[USCITE]]</f>
        <v>877.0899999999998</v>
      </c>
    </row>
    <row r="54" spans="1:6" x14ac:dyDescent="0.25">
      <c r="A54" s="12">
        <v>45000</v>
      </c>
      <c r="B54" s="13" t="str">
        <f>TEXT(Budget23[[#This Row],[DATA]],"mmmm")&amp;" "&amp;TEXT(Budget23[[#This Row],[DATA]],"aaaa")</f>
        <v>marzo 2023</v>
      </c>
      <c r="C54" s="14" t="s">
        <v>7</v>
      </c>
      <c r="D54" s="15"/>
      <c r="E54" s="15">
        <v>30.33</v>
      </c>
      <c r="F54" s="15">
        <f>F53+Budget23[[#This Row],[ENTRATE]]-Budget23[[#This Row],[USCITE]]</f>
        <v>846.75999999999976</v>
      </c>
    </row>
    <row r="55" spans="1:6" x14ac:dyDescent="0.25">
      <c r="A55" s="12">
        <v>45000</v>
      </c>
      <c r="B55" s="13" t="str">
        <f>TEXT(Budget23[[#This Row],[DATA]],"mmmm")&amp;" "&amp;TEXT(Budget23[[#This Row],[DATA]],"aaaa")</f>
        <v>marzo 2023</v>
      </c>
      <c r="C55" s="14" t="s">
        <v>148</v>
      </c>
      <c r="D55" s="15"/>
      <c r="E55" s="15">
        <v>14.25</v>
      </c>
      <c r="F55" s="15">
        <f>F54+Budget23[[#This Row],[ENTRATE]]-Budget23[[#This Row],[USCITE]]</f>
        <v>832.50999999999976</v>
      </c>
    </row>
    <row r="56" spans="1:6" x14ac:dyDescent="0.25">
      <c r="A56" s="12">
        <v>45000</v>
      </c>
      <c r="B56" s="13" t="str">
        <f>TEXT(Budget23[[#This Row],[DATA]],"mmmm")&amp;" "&amp;TEXT(Budget23[[#This Row],[DATA]],"aaaa")</f>
        <v>marzo 2023</v>
      </c>
      <c r="C56" s="14" t="s">
        <v>7</v>
      </c>
      <c r="D56" s="15"/>
      <c r="E56" s="15">
        <v>22.57</v>
      </c>
      <c r="F56" s="15">
        <f>F55+Budget23[[#This Row],[ENTRATE]]-Budget23[[#This Row],[USCITE]]</f>
        <v>809.93999999999971</v>
      </c>
    </row>
    <row r="57" spans="1:6" x14ac:dyDescent="0.25">
      <c r="A57" s="12">
        <v>45006</v>
      </c>
      <c r="B57" s="13" t="str">
        <f>TEXT(Budget23[[#This Row],[DATA]],"mmmm")&amp;" "&amp;TEXT(Budget23[[#This Row],[DATA]],"aaaa")</f>
        <v>marzo 2023</v>
      </c>
      <c r="C57" s="14" t="s">
        <v>150</v>
      </c>
      <c r="D57" s="15">
        <v>500</v>
      </c>
      <c r="E57" s="15"/>
      <c r="F57" s="15">
        <f>F56+Budget23[[#This Row],[ENTRATE]]-Budget23[[#This Row],[USCITE]]</f>
        <v>1309.9399999999996</v>
      </c>
    </row>
    <row r="58" spans="1:6" x14ac:dyDescent="0.25">
      <c r="A58" s="12">
        <v>45012</v>
      </c>
      <c r="B58" s="13" t="str">
        <f>TEXT(Budget23[[#This Row],[DATA]],"mmmm")&amp;" "&amp;TEXT(Budget23[[#This Row],[DATA]],"aaaa")</f>
        <v>marzo 2023</v>
      </c>
      <c r="C58" s="14" t="s">
        <v>9</v>
      </c>
      <c r="D58" s="15"/>
      <c r="E58" s="15">
        <v>100</v>
      </c>
      <c r="F58" s="15">
        <f>F57+Budget23[[#This Row],[ENTRATE]]-Budget23[[#This Row],[USCITE]]</f>
        <v>1209.9399999999996</v>
      </c>
    </row>
    <row r="59" spans="1:6" x14ac:dyDescent="0.25">
      <c r="A59" s="12">
        <v>45016</v>
      </c>
      <c r="B59" s="13" t="str">
        <f>TEXT(Budget23[[#This Row],[DATA]],"mmmm")&amp;" "&amp;TEXT(Budget23[[#This Row],[DATA]],"aaaa")</f>
        <v>marzo 2023</v>
      </c>
      <c r="C59" s="14" t="s">
        <v>18</v>
      </c>
      <c r="D59" s="15"/>
      <c r="E59" s="15">
        <v>307.01</v>
      </c>
      <c r="F59" s="15">
        <f>F58+Budget23[[#This Row],[ENTRATE]]-Budget23[[#This Row],[USCITE]]</f>
        <v>902.92999999999961</v>
      </c>
    </row>
    <row r="60" spans="1:6" x14ac:dyDescent="0.25">
      <c r="A60" s="12">
        <v>45019</v>
      </c>
      <c r="B60" s="13" t="str">
        <f>TEXT(Budget23[[#This Row],[DATA]],"mmmm")&amp;" "&amp;TEXT(Budget23[[#This Row],[DATA]],"aaaa")</f>
        <v>aprile 2023</v>
      </c>
      <c r="C60" s="14" t="s">
        <v>11</v>
      </c>
      <c r="D60" s="15"/>
      <c r="E60" s="15">
        <v>500.5</v>
      </c>
      <c r="F60" s="15">
        <f>F59+Budget23[[#This Row],[ENTRATE]]-Budget23[[#This Row],[USCITE]]</f>
        <v>402.42999999999961</v>
      </c>
    </row>
    <row r="61" spans="1:6" x14ac:dyDescent="0.25">
      <c r="A61" s="12">
        <v>45020</v>
      </c>
      <c r="B61" s="13" t="str">
        <f>TEXT(Budget23[[#This Row],[DATA]],"mmmm")&amp;" "&amp;TEXT(Budget23[[#This Row],[DATA]],"aaaa")</f>
        <v>aprile 2023</v>
      </c>
      <c r="C61" s="14" t="s">
        <v>6</v>
      </c>
      <c r="D61" s="15"/>
      <c r="E61" s="15">
        <v>2.7</v>
      </c>
      <c r="F61" s="15">
        <f>F60+Budget23[[#This Row],[ENTRATE]]-Budget23[[#This Row],[USCITE]]</f>
        <v>399.72999999999962</v>
      </c>
    </row>
    <row r="62" spans="1:6" x14ac:dyDescent="0.25">
      <c r="A62" s="12">
        <v>45023</v>
      </c>
      <c r="B62" s="13" t="str">
        <f>TEXT(Budget23[[#This Row],[DATA]],"mmmm")&amp;" "&amp;TEXT(Budget23[[#This Row],[DATA]],"aaaa")</f>
        <v>aprile 2023</v>
      </c>
      <c r="C62" s="14" t="s">
        <v>6</v>
      </c>
      <c r="D62" s="15"/>
      <c r="E62" s="15">
        <v>16</v>
      </c>
      <c r="F62" s="15">
        <f>F61+Budget23[[#This Row],[ENTRATE]]-Budget23[[#This Row],[USCITE]]</f>
        <v>383.72999999999962</v>
      </c>
    </row>
    <row r="63" spans="1:6" x14ac:dyDescent="0.25">
      <c r="A63" s="12">
        <v>45023</v>
      </c>
      <c r="B63" s="13" t="str">
        <f>TEXT(Budget23[[#This Row],[DATA]],"mmmm")&amp;" "&amp;TEXT(Budget23[[#This Row],[DATA]],"aaaa")</f>
        <v>aprile 2023</v>
      </c>
      <c r="C63" s="14" t="s">
        <v>7</v>
      </c>
      <c r="D63" s="15"/>
      <c r="E63" s="15">
        <v>20.04</v>
      </c>
      <c r="F63" s="15">
        <f>F62+Budget23[[#This Row],[ENTRATE]]-Budget23[[#This Row],[USCITE]]</f>
        <v>363.6899999999996</v>
      </c>
    </row>
    <row r="64" spans="1:6" x14ac:dyDescent="0.25">
      <c r="A64" s="16">
        <v>45027</v>
      </c>
      <c r="B64" s="17" t="str">
        <f>TEXT(Budget23[[#This Row],[DATA]],"mmmm")&amp;" "&amp;TEXT(Budget23[[#This Row],[DATA]],"aaaa")</f>
        <v>aprile 2023</v>
      </c>
      <c r="C64" s="17" t="s">
        <v>8</v>
      </c>
      <c r="D64" s="19"/>
      <c r="E64" s="19">
        <v>44.87</v>
      </c>
      <c r="F64" s="15">
        <f>F63+Budget23[[#This Row],[ENTRATE]]-Budget23[[#This Row],[USCITE]]</f>
        <v>318.8199999999996</v>
      </c>
    </row>
    <row r="65" spans="1:6" x14ac:dyDescent="0.25">
      <c r="A65" s="12">
        <v>45029</v>
      </c>
      <c r="B65" s="13" t="str">
        <f>TEXT(Budget23[[#This Row],[DATA]],"mmmm")&amp;" "&amp;TEXT(Budget23[[#This Row],[DATA]],"aaaa")</f>
        <v>aprile 2023</v>
      </c>
      <c r="C65" s="14" t="s">
        <v>151</v>
      </c>
      <c r="D65" s="15">
        <f>1803+5000</f>
        <v>6803</v>
      </c>
      <c r="E65" s="15"/>
      <c r="F65" s="15">
        <f>F64+Budget23[[#This Row],[ENTRATE]]-Budget23[[#This Row],[USCITE]]</f>
        <v>7121.82</v>
      </c>
    </row>
    <row r="66" spans="1:6" x14ac:dyDescent="0.25">
      <c r="A66" s="12">
        <v>45029</v>
      </c>
      <c r="B66" s="13" t="str">
        <f>TEXT(Budget23[[#This Row],[DATA]],"mmmm")&amp;" "&amp;TEXT(Budget23[[#This Row],[DATA]],"aaaa")</f>
        <v>aprile 2023</v>
      </c>
      <c r="C66" s="14" t="s">
        <v>11</v>
      </c>
      <c r="D66" s="15"/>
      <c r="E66" s="15">
        <v>1000.5</v>
      </c>
      <c r="F66" s="15">
        <f>F65+Budget23[[#This Row],[ENTRATE]]-Budget23[[#This Row],[USCITE]]</f>
        <v>6121.32</v>
      </c>
    </row>
    <row r="67" spans="1:6" x14ac:dyDescent="0.25">
      <c r="A67" s="12">
        <v>45029</v>
      </c>
      <c r="B67" s="13" t="str">
        <f>TEXT(Budget23[[#This Row],[DATA]],"mmmm")&amp;" "&amp;TEXT(Budget23[[#This Row],[DATA]],"aaaa")</f>
        <v>aprile 2023</v>
      </c>
      <c r="C67" s="14" t="s">
        <v>152</v>
      </c>
      <c r="D67" s="15"/>
      <c r="E67" s="15">
        <v>500.5</v>
      </c>
      <c r="F67" s="15">
        <f>F66+Budget23[[#This Row],[ENTRATE]]-Budget23[[#This Row],[USCITE]]</f>
        <v>5620.82</v>
      </c>
    </row>
    <row r="68" spans="1:6" x14ac:dyDescent="0.25">
      <c r="A68" s="12">
        <v>45029</v>
      </c>
      <c r="B68" s="13" t="str">
        <f>TEXT(Budget23[[#This Row],[DATA]],"mmmm")&amp;" "&amp;TEXT(Budget23[[#This Row],[DATA]],"aaaa")</f>
        <v>aprile 2023</v>
      </c>
      <c r="C68" s="14" t="s">
        <v>25</v>
      </c>
      <c r="D68" s="15"/>
      <c r="E68" s="15">
        <v>262.17</v>
      </c>
      <c r="F68" s="15">
        <f>F67+Budget23[[#This Row],[ENTRATE]]-Budget23[[#This Row],[USCITE]]</f>
        <v>5358.65</v>
      </c>
    </row>
    <row r="69" spans="1:6" x14ac:dyDescent="0.25">
      <c r="A69" s="12">
        <v>45032</v>
      </c>
      <c r="B69" s="13" t="str">
        <f>TEXT(Budget23[[#This Row],[DATA]],"mmmm")&amp;" "&amp;TEXT(Budget23[[#This Row],[DATA]],"aaaa")</f>
        <v>aprile 2023</v>
      </c>
      <c r="C69" s="14" t="s">
        <v>6</v>
      </c>
      <c r="D69" s="15"/>
      <c r="E69" s="15">
        <v>2</v>
      </c>
      <c r="F69" s="15">
        <f>F68+Budget23[[#This Row],[ENTRATE]]-Budget23[[#This Row],[USCITE]]</f>
        <v>5356.65</v>
      </c>
    </row>
    <row r="70" spans="1:6" x14ac:dyDescent="0.25">
      <c r="A70" s="12">
        <v>45032</v>
      </c>
      <c r="B70" s="13" t="str">
        <f>TEXT(Budget23[[#This Row],[DATA]],"mmmm")&amp;" "&amp;TEXT(Budget23[[#This Row],[DATA]],"aaaa")</f>
        <v>aprile 2023</v>
      </c>
      <c r="C70" s="14" t="s">
        <v>153</v>
      </c>
      <c r="D70" s="15"/>
      <c r="E70" s="15">
        <v>74</v>
      </c>
      <c r="F70" s="15">
        <f>F69+Budget23[[#This Row],[ENTRATE]]-Budget23[[#This Row],[USCITE]]</f>
        <v>5282.65</v>
      </c>
    </row>
    <row r="71" spans="1:6" x14ac:dyDescent="0.25">
      <c r="A71" s="12">
        <v>45032</v>
      </c>
      <c r="B71" s="13" t="str">
        <f>TEXT(Budget23[[#This Row],[DATA]],"mmmm")&amp;" "&amp;TEXT(Budget23[[#This Row],[DATA]],"aaaa")</f>
        <v>aprile 2023</v>
      </c>
      <c r="C71" s="14" t="s">
        <v>7</v>
      </c>
      <c r="D71" s="15"/>
      <c r="E71" s="15">
        <v>29.6</v>
      </c>
      <c r="F71" s="15">
        <f>F70+Budget23[[#This Row],[ENTRATE]]-Budget23[[#This Row],[USCITE]]</f>
        <v>5253.0499999999993</v>
      </c>
    </row>
    <row r="72" spans="1:6" x14ac:dyDescent="0.25">
      <c r="A72" s="12">
        <v>45032</v>
      </c>
      <c r="B72" s="13" t="str">
        <f>TEXT(Budget23[[#This Row],[DATA]],"mmmm")&amp;" "&amp;TEXT(Budget23[[#This Row],[DATA]],"aaaa")</f>
        <v>aprile 2023</v>
      </c>
      <c r="C72" s="14" t="s">
        <v>13</v>
      </c>
      <c r="D72" s="15"/>
      <c r="E72" s="15">
        <v>3.65</v>
      </c>
      <c r="F72" s="15">
        <f>F71+Budget23[[#This Row],[ENTRATE]]-Budget23[[#This Row],[USCITE]]</f>
        <v>5249.4</v>
      </c>
    </row>
    <row r="73" spans="1:6" x14ac:dyDescent="0.25">
      <c r="A73" s="12">
        <v>45032</v>
      </c>
      <c r="B73" s="13" t="str">
        <f>TEXT(Budget23[[#This Row],[DATA]],"mmmm")&amp;" "&amp;TEXT(Budget23[[#This Row],[DATA]],"aaaa")</f>
        <v>aprile 2023</v>
      </c>
      <c r="C73" s="14" t="s">
        <v>14</v>
      </c>
      <c r="D73" s="15"/>
      <c r="E73" s="15">
        <v>19.989999999999998</v>
      </c>
      <c r="F73" s="15">
        <f>F72+Budget23[[#This Row],[ENTRATE]]-Budget23[[#This Row],[USCITE]]</f>
        <v>5229.41</v>
      </c>
    </row>
    <row r="74" spans="1:6" x14ac:dyDescent="0.25">
      <c r="A74" s="12">
        <v>45032</v>
      </c>
      <c r="B74" s="13" t="str">
        <f>TEXT(Budget23[[#This Row],[DATA]],"mmmm")&amp;" "&amp;TEXT(Budget23[[#This Row],[DATA]],"aaaa")</f>
        <v>aprile 2023</v>
      </c>
      <c r="C74" s="14" t="s">
        <v>7</v>
      </c>
      <c r="D74" s="15"/>
      <c r="E74" s="15">
        <v>29.9</v>
      </c>
      <c r="F74" s="15">
        <f>F73+Budget23[[#This Row],[ENTRATE]]-Budget23[[#This Row],[USCITE]]</f>
        <v>5199.51</v>
      </c>
    </row>
    <row r="75" spans="1:6" x14ac:dyDescent="0.25">
      <c r="A75" s="12">
        <v>45032</v>
      </c>
      <c r="B75" s="13" t="str">
        <f>TEXT(Budget23[[#This Row],[DATA]],"mmmm")&amp;" "&amp;TEXT(Budget23[[#This Row],[DATA]],"aaaa")</f>
        <v>aprile 2023</v>
      </c>
      <c r="C75" s="14" t="s">
        <v>154</v>
      </c>
      <c r="D75" s="15"/>
      <c r="E75" s="15">
        <v>105</v>
      </c>
      <c r="F75" s="15">
        <f>F74+Budget23[[#This Row],[ENTRATE]]-Budget23[[#This Row],[USCITE]]</f>
        <v>5094.51</v>
      </c>
    </row>
    <row r="76" spans="1:6" x14ac:dyDescent="0.25">
      <c r="A76" s="12">
        <v>45032</v>
      </c>
      <c r="B76" s="13" t="str">
        <f>TEXT(Budget23[[#This Row],[DATA]],"mmmm")&amp;" "&amp;TEXT(Budget23[[#This Row],[DATA]],"aaaa")</f>
        <v>aprile 2023</v>
      </c>
      <c r="C76" s="14" t="s">
        <v>107</v>
      </c>
      <c r="D76" s="15"/>
      <c r="E76" s="15">
        <v>15</v>
      </c>
      <c r="F76" s="15">
        <f>F75+Budget23[[#This Row],[ENTRATE]]-Budget23[[#This Row],[USCITE]]</f>
        <v>5079.51</v>
      </c>
    </row>
    <row r="77" spans="1:6" x14ac:dyDescent="0.25">
      <c r="A77" s="12">
        <v>45032</v>
      </c>
      <c r="B77" s="13" t="str">
        <f>TEXT(Budget23[[#This Row],[DATA]],"mmmm")&amp;" "&amp;TEXT(Budget23[[#This Row],[DATA]],"aaaa")</f>
        <v>aprile 2023</v>
      </c>
      <c r="C77" s="14" t="s">
        <v>155</v>
      </c>
      <c r="D77" s="15"/>
      <c r="E77" s="15">
        <v>9</v>
      </c>
      <c r="F77" s="15">
        <f>F76+Budget23[[#This Row],[ENTRATE]]-Budget23[[#This Row],[USCITE]]</f>
        <v>5070.51</v>
      </c>
    </row>
    <row r="78" spans="1:6" x14ac:dyDescent="0.25">
      <c r="A78" s="12">
        <v>45032</v>
      </c>
      <c r="B78" s="13" t="str">
        <f>TEXT(Budget23[[#This Row],[DATA]],"mmmm")&amp;" "&amp;TEXT(Budget23[[#This Row],[DATA]],"aaaa")</f>
        <v>aprile 2023</v>
      </c>
      <c r="C78" s="14" t="s">
        <v>7</v>
      </c>
      <c r="D78" s="15"/>
      <c r="E78" s="15">
        <v>27</v>
      </c>
      <c r="F78" s="15">
        <f>F77+Budget23[[#This Row],[ENTRATE]]-Budget23[[#This Row],[USCITE]]</f>
        <v>5043.51</v>
      </c>
    </row>
    <row r="79" spans="1:6" x14ac:dyDescent="0.25">
      <c r="A79" s="12">
        <v>45032</v>
      </c>
      <c r="B79" s="13" t="str">
        <f>TEXT(Budget23[[#This Row],[DATA]],"mmmm")&amp;" "&amp;TEXT(Budget23[[#This Row],[DATA]],"aaaa")</f>
        <v>aprile 2023</v>
      </c>
      <c r="C79" s="14" t="s">
        <v>7</v>
      </c>
      <c r="D79" s="15"/>
      <c r="E79" s="15">
        <v>13.73</v>
      </c>
      <c r="F79" s="15">
        <f>F78+Budget23[[#This Row],[ENTRATE]]-Budget23[[#This Row],[USCITE]]</f>
        <v>5029.7800000000007</v>
      </c>
    </row>
    <row r="80" spans="1:6" x14ac:dyDescent="0.25">
      <c r="A80" s="12">
        <v>45032</v>
      </c>
      <c r="B80" s="13" t="str">
        <f>TEXT(Budget23[[#This Row],[DATA]],"mmmm")&amp;" "&amp;TEXT(Budget23[[#This Row],[DATA]],"aaaa")</f>
        <v>aprile 2023</v>
      </c>
      <c r="C80" s="14" t="s">
        <v>156</v>
      </c>
      <c r="D80" s="15"/>
      <c r="E80" s="15">
        <v>28</v>
      </c>
      <c r="F80" s="15">
        <f>F79+Budget23[[#This Row],[ENTRATE]]-Budget23[[#This Row],[USCITE]]</f>
        <v>5001.7800000000007</v>
      </c>
    </row>
    <row r="81" spans="1:6" x14ac:dyDescent="0.25">
      <c r="A81" s="12">
        <v>45032</v>
      </c>
      <c r="B81" s="13" t="str">
        <f>TEXT(Budget23[[#This Row],[DATA]],"mmmm")&amp;" "&amp;TEXT(Budget23[[#This Row],[DATA]],"aaaa")</f>
        <v>aprile 2023</v>
      </c>
      <c r="C81" s="14" t="s">
        <v>14</v>
      </c>
      <c r="D81" s="15"/>
      <c r="E81" s="15">
        <v>15.5</v>
      </c>
      <c r="F81" s="15">
        <f>F80+Budget23[[#This Row],[ENTRATE]]-Budget23[[#This Row],[USCITE]]</f>
        <v>4986.2800000000007</v>
      </c>
    </row>
    <row r="82" spans="1:6" x14ac:dyDescent="0.25">
      <c r="A82" s="12">
        <v>45032</v>
      </c>
      <c r="B82" s="13" t="str">
        <f>TEXT(Budget23[[#This Row],[DATA]],"mmmm")&amp;" "&amp;TEXT(Budget23[[#This Row],[DATA]],"aaaa")</f>
        <v>aprile 2023</v>
      </c>
      <c r="C82" s="14" t="s">
        <v>7</v>
      </c>
      <c r="D82" s="15"/>
      <c r="E82" s="15">
        <v>29.65</v>
      </c>
      <c r="F82" s="15">
        <f>F81+Budget23[[#This Row],[ENTRATE]]-Budget23[[#This Row],[USCITE]]</f>
        <v>4956.630000000001</v>
      </c>
    </row>
    <row r="83" spans="1:6" x14ac:dyDescent="0.25">
      <c r="A83" s="12">
        <v>45032</v>
      </c>
      <c r="B83" s="13" t="str">
        <f>TEXT(Budget23[[#This Row],[DATA]],"mmmm")&amp;" "&amp;TEXT(Budget23[[#This Row],[DATA]],"aaaa")</f>
        <v>aprile 2023</v>
      </c>
      <c r="C83" s="14" t="s">
        <v>157</v>
      </c>
      <c r="D83" s="15"/>
      <c r="E83" s="15">
        <v>487</v>
      </c>
      <c r="F83" s="15">
        <f>F82+Budget23[[#This Row],[ENTRATE]]-Budget23[[#This Row],[USCITE]]</f>
        <v>4469.630000000001</v>
      </c>
    </row>
    <row r="84" spans="1:6" x14ac:dyDescent="0.25">
      <c r="A84" s="12">
        <v>45032</v>
      </c>
      <c r="B84" s="13" t="str">
        <f>TEXT(Budget23[[#This Row],[DATA]],"mmmm")&amp;" "&amp;TEXT(Budget23[[#This Row],[DATA]],"aaaa")</f>
        <v>aprile 2023</v>
      </c>
      <c r="C84" s="14" t="s">
        <v>9</v>
      </c>
      <c r="D84" s="15"/>
      <c r="E84" s="15">
        <f>250+10</f>
        <v>260</v>
      </c>
      <c r="F84" s="15">
        <f>F83+Budget23[[#This Row],[ENTRATE]]-Budget23[[#This Row],[USCITE]]</f>
        <v>4209.630000000001</v>
      </c>
    </row>
    <row r="85" spans="1:6" x14ac:dyDescent="0.25">
      <c r="A85" s="12">
        <v>45033</v>
      </c>
      <c r="B85" s="13" t="str">
        <f>TEXT(Budget23[[#This Row],[DATA]],"mmmm")&amp;" "&amp;TEXT(Budget23[[#This Row],[DATA]],"aaaa")</f>
        <v>aprile 2023</v>
      </c>
      <c r="C85" s="14" t="s">
        <v>7</v>
      </c>
      <c r="D85" s="15"/>
      <c r="E85" s="15">
        <v>28.8</v>
      </c>
      <c r="F85" s="15">
        <f>F84+Budget23[[#This Row],[ENTRATE]]-Budget23[[#This Row],[USCITE]]</f>
        <v>4180.8300000000008</v>
      </c>
    </row>
    <row r="86" spans="1:6" x14ac:dyDescent="0.25">
      <c r="A86" s="12">
        <v>45033</v>
      </c>
      <c r="B86" s="13" t="str">
        <f>TEXT(Budget23[[#This Row],[DATA]],"mmmm")&amp;" "&amp;TEXT(Budget23[[#This Row],[DATA]],"aaaa")</f>
        <v>aprile 2023</v>
      </c>
      <c r="C86" s="14" t="s">
        <v>7</v>
      </c>
      <c r="D86" s="15"/>
      <c r="E86" s="15">
        <v>31.36</v>
      </c>
      <c r="F86" s="15">
        <f>F85+Budget23[[#This Row],[ENTRATE]]-Budget23[[#This Row],[USCITE]]</f>
        <v>4149.4700000000012</v>
      </c>
    </row>
    <row r="87" spans="1:6" x14ac:dyDescent="0.25">
      <c r="A87" s="12">
        <v>45034</v>
      </c>
      <c r="B87" s="13" t="str">
        <f>TEXT(Budget23[[#This Row],[DATA]],"mmmm")&amp;" "&amp;TEXT(Budget23[[#This Row],[DATA]],"aaaa")</f>
        <v>aprile 2023</v>
      </c>
      <c r="C87" s="14" t="s">
        <v>9</v>
      </c>
      <c r="D87" s="15"/>
      <c r="E87" s="15">
        <v>100</v>
      </c>
      <c r="F87" s="15">
        <f>F86+Budget23[[#This Row],[ENTRATE]]-Budget23[[#This Row],[USCITE]]</f>
        <v>4049.4700000000012</v>
      </c>
    </row>
    <row r="88" spans="1:6" x14ac:dyDescent="0.25">
      <c r="A88" s="12">
        <v>45040</v>
      </c>
      <c r="B88" s="13" t="str">
        <f>TEXT(Budget23[[#This Row],[DATA]],"mmmm")&amp;" "&amp;TEXT(Budget23[[#This Row],[DATA]],"aaaa")</f>
        <v>aprile 2023</v>
      </c>
      <c r="C88" s="14" t="s">
        <v>7</v>
      </c>
      <c r="D88" s="15"/>
      <c r="E88" s="15">
        <v>27.81</v>
      </c>
      <c r="F88" s="15">
        <f>F87+Budget23[[#This Row],[ENTRATE]]-Budget23[[#This Row],[USCITE]]</f>
        <v>4021.6600000000012</v>
      </c>
    </row>
    <row r="89" spans="1:6" x14ac:dyDescent="0.25">
      <c r="A89" s="12">
        <v>45043</v>
      </c>
      <c r="B89" s="13" t="str">
        <f>TEXT(Budget23[[#This Row],[DATA]],"mmmm")&amp;" "&amp;TEXT(Budget23[[#This Row],[DATA]],"aaaa")</f>
        <v>aprile 2023</v>
      </c>
      <c r="C89" s="14" t="s">
        <v>7</v>
      </c>
      <c r="D89" s="15"/>
      <c r="E89" s="15">
        <v>37.89</v>
      </c>
      <c r="F89" s="15">
        <f>F88+Budget23[[#This Row],[ENTRATE]]-Budget23[[#This Row],[USCITE]]</f>
        <v>3983.7700000000013</v>
      </c>
    </row>
    <row r="90" spans="1:6" x14ac:dyDescent="0.25">
      <c r="A90" s="12">
        <v>45046</v>
      </c>
      <c r="B90" s="13" t="str">
        <f>TEXT(Budget23[[#This Row],[DATA]],"mmmm")&amp;" "&amp;TEXT(Budget23[[#This Row],[DATA]],"aaaa")</f>
        <v>aprile 2023</v>
      </c>
      <c r="C90" s="14" t="s">
        <v>18</v>
      </c>
      <c r="D90" s="15"/>
      <c r="E90" s="15">
        <v>307.01</v>
      </c>
      <c r="F90" s="15">
        <f>F89+Budget23[[#This Row],[ENTRATE]]-Budget23[[#This Row],[USCITE]]</f>
        <v>3676.7600000000011</v>
      </c>
    </row>
    <row r="91" spans="1:6" x14ac:dyDescent="0.25">
      <c r="A91" s="16">
        <v>45048</v>
      </c>
      <c r="B91" s="17" t="str">
        <f>TEXT(Budget23[[#This Row],[DATA]],"mmmm")&amp;" "&amp;TEXT(Budget23[[#This Row],[DATA]],"aaaa")</f>
        <v>maggio 2023</v>
      </c>
      <c r="C91" s="18" t="s">
        <v>11</v>
      </c>
      <c r="D91" s="19"/>
      <c r="E91" s="19">
        <v>1000.5</v>
      </c>
      <c r="F91" s="15">
        <f>F90+Budget23[[#This Row],[ENTRATE]]-Budget23[[#This Row],[USCITE]]</f>
        <v>2676.2600000000011</v>
      </c>
    </row>
    <row r="92" spans="1:6" x14ac:dyDescent="0.25">
      <c r="A92" s="16">
        <v>45050</v>
      </c>
      <c r="B92" s="17" t="str">
        <f>TEXT(Budget23[[#This Row],[DATA]],"mmmm")&amp;" "&amp;TEXT(Budget23[[#This Row],[DATA]],"aaaa")</f>
        <v>maggio 2023</v>
      </c>
      <c r="C92" s="17" t="s">
        <v>158</v>
      </c>
      <c r="D92" s="19"/>
      <c r="E92" s="19">
        <v>65</v>
      </c>
      <c r="F92" s="15">
        <f>F91+Budget23[[#This Row],[ENTRATE]]-Budget23[[#This Row],[USCITE]]</f>
        <v>2611.2600000000011</v>
      </c>
    </row>
    <row r="93" spans="1:6" x14ac:dyDescent="0.25">
      <c r="A93" s="16">
        <v>45051</v>
      </c>
      <c r="B93" s="17" t="str">
        <f>TEXT(Budget23[[#This Row],[DATA]],"mmmm")&amp;" "&amp;TEXT(Budget23[[#This Row],[DATA]],"aaaa")</f>
        <v>maggio 2023</v>
      </c>
      <c r="C93" s="17" t="s">
        <v>7</v>
      </c>
      <c r="D93" s="19"/>
      <c r="E93" s="19">
        <v>28.9</v>
      </c>
      <c r="F93" s="15">
        <f>F92+Budget23[[#This Row],[ENTRATE]]-Budget23[[#This Row],[USCITE]]</f>
        <v>2582.360000000001</v>
      </c>
    </row>
    <row r="94" spans="1:6" x14ac:dyDescent="0.25">
      <c r="A94" s="16">
        <v>45054</v>
      </c>
      <c r="B94" s="17" t="str">
        <f>TEXT(Budget23[[#This Row],[DATA]],"mmmm")&amp;" "&amp;TEXT(Budget23[[#This Row],[DATA]],"aaaa")</f>
        <v>maggio 2023</v>
      </c>
      <c r="C94" s="17" t="s">
        <v>9</v>
      </c>
      <c r="D94" s="19"/>
      <c r="E94" s="19">
        <v>100</v>
      </c>
      <c r="F94" s="15">
        <f>F93+Budget23[[#This Row],[ENTRATE]]-Budget23[[#This Row],[USCITE]]</f>
        <v>2482.360000000001</v>
      </c>
    </row>
    <row r="95" spans="1:6" x14ac:dyDescent="0.25">
      <c r="A95" s="12">
        <v>45054</v>
      </c>
      <c r="B95" s="13" t="str">
        <f>TEXT(Budget23[[#This Row],[DATA]],"mmmm")&amp;" "&amp;TEXT(Budget23[[#This Row],[DATA]],"aaaa")</f>
        <v>maggio 2023</v>
      </c>
      <c r="C95" s="13" t="s">
        <v>8</v>
      </c>
      <c r="D95" s="15"/>
      <c r="E95" s="15">
        <v>51.87</v>
      </c>
      <c r="F95" s="15">
        <f>F94+Budget23[[#This Row],[ENTRATE]]-Budget23[[#This Row],[USCITE]]</f>
        <v>2430.4900000000011</v>
      </c>
    </row>
    <row r="96" spans="1:6" x14ac:dyDescent="0.25">
      <c r="A96" s="12">
        <v>45057</v>
      </c>
      <c r="B96" s="13" t="str">
        <f>TEXT(Budget23[[#This Row],[DATA]],"mmmm")&amp;" "&amp;TEXT(Budget23[[#This Row],[DATA]],"aaaa")</f>
        <v>maggio 2023</v>
      </c>
      <c r="C96" s="14" t="s">
        <v>10</v>
      </c>
      <c r="D96" s="15">
        <v>1893</v>
      </c>
      <c r="E96" s="15"/>
      <c r="F96" s="15">
        <f>F95+Budget23[[#This Row],[ENTRATE]]-Budget23[[#This Row],[USCITE]]</f>
        <v>4323.4900000000016</v>
      </c>
    </row>
    <row r="97" spans="1:6" x14ac:dyDescent="0.25">
      <c r="A97" s="12">
        <v>45062</v>
      </c>
      <c r="B97" s="13" t="str">
        <f>TEXT(Budget23[[#This Row],[DATA]],"mmmm")&amp;" "&amp;TEXT(Budget23[[#This Row],[DATA]],"aaaa")</f>
        <v>maggio 2023</v>
      </c>
      <c r="C97" s="14" t="s">
        <v>13</v>
      </c>
      <c r="D97" s="15"/>
      <c r="E97" s="15">
        <v>3.65</v>
      </c>
      <c r="F97" s="15">
        <f>F96+Budget23[[#This Row],[ENTRATE]]-Budget23[[#This Row],[USCITE]]</f>
        <v>4319.840000000002</v>
      </c>
    </row>
    <row r="98" spans="1:6" x14ac:dyDescent="0.25">
      <c r="A98" s="12">
        <v>45062</v>
      </c>
      <c r="B98" s="13" t="str">
        <f>TEXT(Budget23[[#This Row],[DATA]],"mmmm")&amp;" "&amp;TEXT(Budget23[[#This Row],[DATA]],"aaaa")</f>
        <v>maggio 2023</v>
      </c>
      <c r="C98" s="14" t="s">
        <v>9</v>
      </c>
      <c r="D98" s="15"/>
      <c r="E98" s="15">
        <v>260</v>
      </c>
      <c r="F98" s="15">
        <f>F97+Budget23[[#This Row],[ENTRATE]]-Budget23[[#This Row],[USCITE]]</f>
        <v>4059.840000000002</v>
      </c>
    </row>
    <row r="99" spans="1:6" x14ac:dyDescent="0.25">
      <c r="A99" s="12">
        <v>45062</v>
      </c>
      <c r="B99" s="13" t="str">
        <f>TEXT(Budget23[[#This Row],[DATA]],"mmmm")&amp;" "&amp;TEXT(Budget23[[#This Row],[DATA]],"aaaa")</f>
        <v>maggio 2023</v>
      </c>
      <c r="C99" s="14" t="s">
        <v>14</v>
      </c>
      <c r="D99" s="15"/>
      <c r="E99" s="15">
        <v>27.49</v>
      </c>
      <c r="F99" s="15">
        <f>F98+Budget23[[#This Row],[ENTRATE]]-Budget23[[#This Row],[USCITE]]</f>
        <v>4032.3500000000022</v>
      </c>
    </row>
    <row r="100" spans="1:6" x14ac:dyDescent="0.25">
      <c r="A100" s="12">
        <v>45062</v>
      </c>
      <c r="B100" s="13" t="str">
        <f>TEXT(Budget23[[#This Row],[DATA]],"mmmm")&amp;" "&amp;TEXT(Budget23[[#This Row],[DATA]],"aaaa")</f>
        <v>maggio 2023</v>
      </c>
      <c r="C100" s="14" t="s">
        <v>14</v>
      </c>
      <c r="D100" s="15"/>
      <c r="E100" s="15">
        <v>29.99</v>
      </c>
      <c r="F100" s="15">
        <f>F99+Budget23[[#This Row],[ENTRATE]]-Budget23[[#This Row],[USCITE]]</f>
        <v>4002.3600000000024</v>
      </c>
    </row>
    <row r="101" spans="1:6" x14ac:dyDescent="0.25">
      <c r="A101" s="12">
        <v>45062</v>
      </c>
      <c r="B101" s="13" t="str">
        <f>TEXT(Budget23[[#This Row],[DATA]],"mmmm")&amp;" "&amp;TEXT(Budget23[[#This Row],[DATA]],"aaaa")</f>
        <v>maggio 2023</v>
      </c>
      <c r="C101" s="14" t="s">
        <v>7</v>
      </c>
      <c r="D101" s="15"/>
      <c r="E101" s="15">
        <v>30.31</v>
      </c>
      <c r="F101" s="15">
        <f>F100+Budget23[[#This Row],[ENTRATE]]-Budget23[[#This Row],[USCITE]]</f>
        <v>3972.0500000000025</v>
      </c>
    </row>
    <row r="102" spans="1:6" x14ac:dyDescent="0.25">
      <c r="A102" s="12">
        <v>45062</v>
      </c>
      <c r="B102" s="13" t="str">
        <f>TEXT(Budget23[[#This Row],[DATA]],"mmmm")&amp;" "&amp;TEXT(Budget23[[#This Row],[DATA]],"aaaa")</f>
        <v>maggio 2023</v>
      </c>
      <c r="C102" s="14" t="s">
        <v>113</v>
      </c>
      <c r="D102" s="15"/>
      <c r="E102" s="15">
        <v>13</v>
      </c>
      <c r="F102" s="15">
        <f>F101+Budget23[[#This Row],[ENTRATE]]-Budget23[[#This Row],[USCITE]]</f>
        <v>3959.0500000000025</v>
      </c>
    </row>
    <row r="103" spans="1:6" x14ac:dyDescent="0.25">
      <c r="A103" s="12">
        <v>45062</v>
      </c>
      <c r="B103" s="13" t="str">
        <f>TEXT(Budget23[[#This Row],[DATA]],"mmmm")&amp;" "&amp;TEXT(Budget23[[#This Row],[DATA]],"aaaa")</f>
        <v>maggio 2023</v>
      </c>
      <c r="C103" s="14" t="s">
        <v>145</v>
      </c>
      <c r="D103" s="15"/>
      <c r="E103" s="15">
        <v>261.99</v>
      </c>
      <c r="F103" s="15">
        <f>F102+Budget23[[#This Row],[ENTRATE]]-Budget23[[#This Row],[USCITE]]</f>
        <v>3697.0600000000022</v>
      </c>
    </row>
    <row r="104" spans="1:6" x14ac:dyDescent="0.25">
      <c r="A104" s="12">
        <v>45062</v>
      </c>
      <c r="B104" s="13" t="str">
        <f>TEXT(Budget23[[#This Row],[DATA]],"mmmm")&amp;" "&amp;TEXT(Budget23[[#This Row],[DATA]],"aaaa")</f>
        <v>maggio 2023</v>
      </c>
      <c r="C104" s="14" t="s">
        <v>46</v>
      </c>
      <c r="D104" s="15"/>
      <c r="E104" s="15">
        <v>363.89</v>
      </c>
      <c r="F104" s="15">
        <f>F103+Budget23[[#This Row],[ENTRATE]]-Budget23[[#This Row],[USCITE]]</f>
        <v>3333.1700000000023</v>
      </c>
    </row>
    <row r="105" spans="1:6" x14ac:dyDescent="0.25">
      <c r="A105" s="12">
        <v>45062</v>
      </c>
      <c r="B105" s="13" t="str">
        <f>TEXT(Budget23[[#This Row],[DATA]],"mmmm")&amp;" "&amp;TEXT(Budget23[[#This Row],[DATA]],"aaaa")</f>
        <v>maggio 2023</v>
      </c>
      <c r="C105" s="14" t="s">
        <v>97</v>
      </c>
      <c r="D105" s="15"/>
      <c r="E105" s="15">
        <v>76.760000000000005</v>
      </c>
      <c r="F105" s="15">
        <f>F104+Budget23[[#This Row],[ENTRATE]]-Budget23[[#This Row],[USCITE]]</f>
        <v>3256.4100000000021</v>
      </c>
    </row>
    <row r="106" spans="1:6" x14ac:dyDescent="0.25">
      <c r="A106" s="12">
        <v>45062</v>
      </c>
      <c r="B106" s="13" t="str">
        <f>TEXT(Budget23[[#This Row],[DATA]],"mmmm")&amp;" "&amp;TEXT(Budget23[[#This Row],[DATA]],"aaaa")</f>
        <v>maggio 2023</v>
      </c>
      <c r="C106" s="14" t="s">
        <v>159</v>
      </c>
      <c r="D106" s="15"/>
      <c r="E106" s="15">
        <v>19.989999999999998</v>
      </c>
      <c r="F106" s="15">
        <f>F105+Budget23[[#This Row],[ENTRATE]]-Budget23[[#This Row],[USCITE]]</f>
        <v>3236.4200000000023</v>
      </c>
    </row>
    <row r="107" spans="1:6" x14ac:dyDescent="0.25">
      <c r="A107" s="12">
        <v>45062</v>
      </c>
      <c r="B107" s="13" t="str">
        <f>TEXT(Budget23[[#This Row],[DATA]],"mmmm")&amp;" "&amp;TEXT(Budget23[[#This Row],[DATA]],"aaaa")</f>
        <v>maggio 2023</v>
      </c>
      <c r="C107" s="14" t="s">
        <v>160</v>
      </c>
      <c r="D107" s="15"/>
      <c r="E107" s="15">
        <v>124</v>
      </c>
      <c r="F107" s="15">
        <f>F106+Budget23[[#This Row],[ENTRATE]]-Budget23[[#This Row],[USCITE]]</f>
        <v>3112.4200000000023</v>
      </c>
    </row>
    <row r="108" spans="1:6" x14ac:dyDescent="0.25">
      <c r="A108" s="12">
        <v>45062</v>
      </c>
      <c r="B108" s="13" t="str">
        <f>TEXT(Budget23[[#This Row],[DATA]],"mmmm")&amp;" "&amp;TEXT(Budget23[[#This Row],[DATA]],"aaaa")</f>
        <v>maggio 2023</v>
      </c>
      <c r="C108" s="14" t="s">
        <v>14</v>
      </c>
      <c r="D108" s="15"/>
      <c r="E108" s="15">
        <v>49.64</v>
      </c>
      <c r="F108" s="15">
        <f>F107+Budget23[[#This Row],[ENTRATE]]-Budget23[[#This Row],[USCITE]]</f>
        <v>3062.7800000000025</v>
      </c>
    </row>
    <row r="109" spans="1:6" x14ac:dyDescent="0.25">
      <c r="A109" s="12">
        <v>45062</v>
      </c>
      <c r="B109" s="13" t="str">
        <f>TEXT(Budget23[[#This Row],[DATA]],"mmmm")&amp;" "&amp;TEXT(Budget23[[#This Row],[DATA]],"aaaa")</f>
        <v>maggio 2023</v>
      </c>
      <c r="C109" s="14" t="s">
        <v>14</v>
      </c>
      <c r="D109" s="15"/>
      <c r="E109" s="15">
        <v>26.99</v>
      </c>
      <c r="F109" s="15">
        <f>F108+Budget23[[#This Row],[ENTRATE]]-Budget23[[#This Row],[USCITE]]</f>
        <v>3035.7900000000027</v>
      </c>
    </row>
    <row r="110" spans="1:6" x14ac:dyDescent="0.25">
      <c r="A110" s="12">
        <v>45062</v>
      </c>
      <c r="B110" s="13" t="str">
        <f>TEXT(Budget23[[#This Row],[DATA]],"mmmm")&amp;" "&amp;TEXT(Budget23[[#This Row],[DATA]],"aaaa")</f>
        <v>maggio 2023</v>
      </c>
      <c r="C110" s="14" t="s">
        <v>161</v>
      </c>
      <c r="D110" s="15"/>
      <c r="E110" s="15">
        <v>63</v>
      </c>
      <c r="F110" s="15">
        <f>F109+Budget23[[#This Row],[ENTRATE]]-Budget23[[#This Row],[USCITE]]</f>
        <v>2972.7900000000027</v>
      </c>
    </row>
    <row r="111" spans="1:6" x14ac:dyDescent="0.25">
      <c r="A111" s="12">
        <v>45062</v>
      </c>
      <c r="B111" s="13" t="str">
        <f>TEXT(Budget23[[#This Row],[DATA]],"mmmm")&amp;" "&amp;TEXT(Budget23[[#This Row],[DATA]],"aaaa")</f>
        <v>maggio 2023</v>
      </c>
      <c r="C111" s="14" t="s">
        <v>14</v>
      </c>
      <c r="D111" s="15"/>
      <c r="E111" s="15">
        <v>13.99</v>
      </c>
      <c r="F111" s="15">
        <f>F110+Budget23[[#This Row],[ENTRATE]]-Budget23[[#This Row],[USCITE]]</f>
        <v>2958.8000000000029</v>
      </c>
    </row>
    <row r="112" spans="1:6" x14ac:dyDescent="0.25">
      <c r="A112" s="12">
        <v>45062</v>
      </c>
      <c r="B112" s="13" t="str">
        <f>TEXT(Budget23[[#This Row],[DATA]],"mmmm")&amp;" "&amp;TEXT(Budget23[[#This Row],[DATA]],"aaaa")</f>
        <v>maggio 2023</v>
      </c>
      <c r="C112" s="14" t="s">
        <v>6</v>
      </c>
      <c r="D112" s="15"/>
      <c r="E112" s="15">
        <v>2</v>
      </c>
      <c r="F112" s="15">
        <f>F111+Budget23[[#This Row],[ENTRATE]]-Budget23[[#This Row],[USCITE]]</f>
        <v>2956.8000000000029</v>
      </c>
    </row>
    <row r="113" spans="1:6" x14ac:dyDescent="0.25">
      <c r="A113" s="12">
        <v>45062</v>
      </c>
      <c r="B113" s="13" t="str">
        <f>TEXT(Budget23[[#This Row],[DATA]],"mmmm")&amp;" "&amp;TEXT(Budget23[[#This Row],[DATA]],"aaaa")</f>
        <v>maggio 2023</v>
      </c>
      <c r="C113" s="14" t="s">
        <v>9</v>
      </c>
      <c r="D113" s="15"/>
      <c r="E113" s="15">
        <v>150</v>
      </c>
      <c r="F113" s="15">
        <f>F112+Budget23[[#This Row],[ENTRATE]]-Budget23[[#This Row],[USCITE]]</f>
        <v>2806.8000000000029</v>
      </c>
    </row>
    <row r="114" spans="1:6" x14ac:dyDescent="0.25">
      <c r="A114" s="12">
        <v>45068</v>
      </c>
      <c r="B114" s="13" t="str">
        <f>TEXT(Budget23[[#This Row],[DATA]],"mmmm")&amp;" "&amp;TEXT(Budget23[[#This Row],[DATA]],"aaaa")</f>
        <v>maggio 2023</v>
      </c>
      <c r="C114" s="14" t="s">
        <v>7</v>
      </c>
      <c r="D114" s="15"/>
      <c r="E114" s="15">
        <v>65</v>
      </c>
      <c r="F114" s="15">
        <f>F113+Budget23[[#This Row],[ENTRATE]]-Budget23[[#This Row],[USCITE]]</f>
        <v>2741.8000000000029</v>
      </c>
    </row>
    <row r="115" spans="1:6" x14ac:dyDescent="0.25">
      <c r="A115" s="12">
        <v>45068</v>
      </c>
      <c r="B115" s="13" t="str">
        <f>TEXT(Budget23[[#This Row],[DATA]],"mmmm")&amp;" "&amp;TEXT(Budget23[[#This Row],[DATA]],"aaaa")</f>
        <v>maggio 2023</v>
      </c>
      <c r="C115" s="14" t="s">
        <v>162</v>
      </c>
      <c r="D115" s="15"/>
      <c r="E115" s="15">
        <v>35.89</v>
      </c>
      <c r="F115" s="15">
        <f>F114+Budget23[[#This Row],[ENTRATE]]-Budget23[[#This Row],[USCITE]]</f>
        <v>2705.910000000003</v>
      </c>
    </row>
    <row r="116" spans="1:6" x14ac:dyDescent="0.25">
      <c r="A116" s="12">
        <v>45072</v>
      </c>
      <c r="B116" s="13" t="str">
        <f>TEXT(Budget23[[#This Row],[DATA]],"mmmm")&amp;" "&amp;TEXT(Budget23[[#This Row],[DATA]],"aaaa")</f>
        <v>maggio 2023</v>
      </c>
      <c r="C116" s="14" t="s">
        <v>11</v>
      </c>
      <c r="D116" s="15"/>
      <c r="E116" s="15">
        <v>1000.5</v>
      </c>
      <c r="F116" s="15">
        <f>F115+Budget23[[#This Row],[ENTRATE]]-Budget23[[#This Row],[USCITE]]</f>
        <v>1705.410000000003</v>
      </c>
    </row>
    <row r="117" spans="1:6" x14ac:dyDescent="0.25">
      <c r="A117" s="12">
        <v>45075</v>
      </c>
      <c r="B117" s="13" t="str">
        <f>TEXT(Budget23[[#This Row],[DATA]],"mmmm")&amp;" "&amp;TEXT(Budget23[[#This Row],[DATA]],"aaaa")</f>
        <v>maggio 2023</v>
      </c>
      <c r="C117" s="14" t="s">
        <v>163</v>
      </c>
      <c r="D117" s="15">
        <v>25.98</v>
      </c>
      <c r="E117" s="15">
        <v>0</v>
      </c>
      <c r="F117" s="15">
        <f>F116+Budget23[[#This Row],[ENTRATE]]-Budget23[[#This Row],[USCITE]]</f>
        <v>1731.3900000000031</v>
      </c>
    </row>
    <row r="118" spans="1:6" x14ac:dyDescent="0.25">
      <c r="A118" s="16">
        <v>45077</v>
      </c>
      <c r="B118" s="17" t="str">
        <f>TEXT(Budget23[[#This Row],[DATA]],"mmmm")&amp;" "&amp;TEXT(Budget23[[#This Row],[DATA]],"aaaa")</f>
        <v>maggio 2023</v>
      </c>
      <c r="C118" s="18" t="s">
        <v>18</v>
      </c>
      <c r="D118" s="19"/>
      <c r="E118" s="19">
        <v>307.01</v>
      </c>
      <c r="F118" s="15">
        <f>F117+Budget23[[#This Row],[ENTRATE]]-Budget23[[#This Row],[USCITE]]</f>
        <v>1424.3800000000031</v>
      </c>
    </row>
    <row r="119" spans="1:6" x14ac:dyDescent="0.25">
      <c r="A119" s="12">
        <v>45086</v>
      </c>
      <c r="B119" s="13" t="str">
        <f>TEXT(Budget23[[#This Row],[DATA]],"mmmm")&amp;" "&amp;TEXT(Budget23[[#This Row],[DATA]],"aaaa")</f>
        <v>giugno 2023</v>
      </c>
      <c r="C119" s="13" t="s">
        <v>8</v>
      </c>
      <c r="D119" s="15"/>
      <c r="E119" s="15">
        <v>44.87</v>
      </c>
      <c r="F119" s="15">
        <f>F118+Budget23[[#This Row],[ENTRATE]]-Budget23[[#This Row],[USCITE]]</f>
        <v>1379.5100000000032</v>
      </c>
    </row>
    <row r="120" spans="1:6" x14ac:dyDescent="0.25">
      <c r="A120" s="12">
        <v>45086</v>
      </c>
      <c r="B120" s="13" t="str">
        <f>TEXT(Budget23[[#This Row],[DATA]],"mmmm")&amp;" "&amp;TEXT(Budget23[[#This Row],[DATA]],"aaaa")</f>
        <v>giugno 2023</v>
      </c>
      <c r="C120" s="13" t="s">
        <v>9</v>
      </c>
      <c r="D120" s="15"/>
      <c r="E120" s="15">
        <v>150</v>
      </c>
      <c r="F120" s="15">
        <f>F119+Budget23[[#This Row],[ENTRATE]]-Budget23[[#This Row],[USCITE]]</f>
        <v>1229.5100000000032</v>
      </c>
    </row>
    <row r="121" spans="1:6" x14ac:dyDescent="0.25">
      <c r="A121" s="12">
        <v>45090</v>
      </c>
      <c r="B121" s="13" t="str">
        <f>TEXT(Budget23[[#This Row],[DATA]],"mmmm")&amp;" "&amp;TEXT(Budget23[[#This Row],[DATA]],"aaaa")</f>
        <v>giugno 2023</v>
      </c>
      <c r="C121" s="14" t="s">
        <v>10</v>
      </c>
      <c r="D121" s="15">
        <v>1728</v>
      </c>
      <c r="E121" s="15"/>
      <c r="F121" s="15">
        <f>F120+Budget23[[#This Row],[ENTRATE]]-Budget23[[#This Row],[USCITE]]</f>
        <v>2957.5100000000029</v>
      </c>
    </row>
    <row r="122" spans="1:6" x14ac:dyDescent="0.25">
      <c r="A122" s="12">
        <v>45093</v>
      </c>
      <c r="B122" s="13" t="str">
        <f>TEXT(Budget23[[#This Row],[DATA]],"mmmm")&amp;" "&amp;TEXT(Budget23[[#This Row],[DATA]],"aaaa")</f>
        <v>giugno 2023</v>
      </c>
      <c r="C122" s="14" t="s">
        <v>6</v>
      </c>
      <c r="D122" s="15"/>
      <c r="E122" s="15">
        <v>2</v>
      </c>
      <c r="F122" s="15">
        <f>F121+Budget23[[#This Row],[ENTRATE]]-Budget23[[#This Row],[USCITE]]</f>
        <v>2955.5100000000029</v>
      </c>
    </row>
    <row r="123" spans="1:6" x14ac:dyDescent="0.25">
      <c r="A123" s="12">
        <v>45093</v>
      </c>
      <c r="B123" s="13" t="str">
        <f>TEXT(Budget23[[#This Row],[DATA]],"mmmm")&amp;" "&amp;TEXT(Budget23[[#This Row],[DATA]],"aaaa")</f>
        <v>giugno 2023</v>
      </c>
      <c r="C123" s="14" t="s">
        <v>164</v>
      </c>
      <c r="D123" s="15"/>
      <c r="E123" s="15">
        <v>12</v>
      </c>
      <c r="F123" s="15">
        <f>F122+Budget23[[#This Row],[ENTRATE]]-Budget23[[#This Row],[USCITE]]</f>
        <v>2943.5100000000029</v>
      </c>
    </row>
    <row r="124" spans="1:6" x14ac:dyDescent="0.25">
      <c r="A124" s="12">
        <v>45093</v>
      </c>
      <c r="B124" s="13" t="str">
        <f>TEXT(Budget23[[#This Row],[DATA]],"mmmm")&amp;" "&amp;TEXT(Budget23[[#This Row],[DATA]],"aaaa")</f>
        <v>giugno 2023</v>
      </c>
      <c r="C124" s="14" t="s">
        <v>13</v>
      </c>
      <c r="D124" s="15"/>
      <c r="E124" s="15">
        <v>3.65</v>
      </c>
      <c r="F124" s="15">
        <f>F123+Budget23[[#This Row],[ENTRATE]]-Budget23[[#This Row],[USCITE]]</f>
        <v>2939.8600000000029</v>
      </c>
    </row>
    <row r="125" spans="1:6" x14ac:dyDescent="0.25">
      <c r="A125" s="12">
        <v>45093</v>
      </c>
      <c r="B125" s="13" t="str">
        <f>TEXT(Budget23[[#This Row],[DATA]],"mmmm")&amp;" "&amp;TEXT(Budget23[[#This Row],[DATA]],"aaaa")</f>
        <v>giugno 2023</v>
      </c>
      <c r="C125" s="14" t="s">
        <v>165</v>
      </c>
      <c r="D125" s="15"/>
      <c r="E125" s="15">
        <v>97.32</v>
      </c>
      <c r="F125" s="15">
        <f>F124+Budget23[[#This Row],[ENTRATE]]-Budget23[[#This Row],[USCITE]]</f>
        <v>2842.5400000000027</v>
      </c>
    </row>
    <row r="126" spans="1:6" x14ac:dyDescent="0.25">
      <c r="A126" s="12">
        <v>45093</v>
      </c>
      <c r="B126" s="13" t="str">
        <f>TEXT(Budget23[[#This Row],[DATA]],"mmmm")&amp;" "&amp;TEXT(Budget23[[#This Row],[DATA]],"aaaa")</f>
        <v>giugno 2023</v>
      </c>
      <c r="C126" s="14" t="s">
        <v>166</v>
      </c>
      <c r="D126" s="15"/>
      <c r="E126" s="15">
        <v>177.25</v>
      </c>
      <c r="F126" s="15">
        <f>F125+Budget23[[#This Row],[ENTRATE]]-Budget23[[#This Row],[USCITE]]</f>
        <v>2665.2900000000027</v>
      </c>
    </row>
    <row r="127" spans="1:6" x14ac:dyDescent="0.25">
      <c r="A127" s="12">
        <v>45093</v>
      </c>
      <c r="B127" s="13" t="str">
        <f>TEXT(Budget23[[#This Row],[DATA]],"mmmm")&amp;" "&amp;TEXT(Budget23[[#This Row],[DATA]],"aaaa")</f>
        <v>giugno 2023</v>
      </c>
      <c r="C127" s="14" t="s">
        <v>7</v>
      </c>
      <c r="D127" s="15"/>
      <c r="E127" s="15">
        <v>26.45</v>
      </c>
      <c r="F127" s="15">
        <f>F126+Budget23[[#This Row],[ENTRATE]]-Budget23[[#This Row],[USCITE]]</f>
        <v>2638.8400000000029</v>
      </c>
    </row>
    <row r="128" spans="1:6" x14ac:dyDescent="0.25">
      <c r="A128" s="12">
        <v>45093</v>
      </c>
      <c r="B128" s="13" t="str">
        <f>TEXT(Budget23[[#This Row],[DATA]],"mmmm")&amp;" "&amp;TEXT(Budget23[[#This Row],[DATA]],"aaaa")</f>
        <v>giugno 2023</v>
      </c>
      <c r="C128" s="14" t="s">
        <v>14</v>
      </c>
      <c r="D128" s="15"/>
      <c r="E128" s="15">
        <v>24.4</v>
      </c>
      <c r="F128" s="15">
        <f>F127+Budget23[[#This Row],[ENTRATE]]-Budget23[[#This Row],[USCITE]]</f>
        <v>2614.4400000000028</v>
      </c>
    </row>
    <row r="129" spans="1:6" x14ac:dyDescent="0.25">
      <c r="A129" s="12">
        <v>45093</v>
      </c>
      <c r="B129" s="13" t="str">
        <f>TEXT(Budget23[[#This Row],[DATA]],"mmmm")&amp;" "&amp;TEXT(Budget23[[#This Row],[DATA]],"aaaa")</f>
        <v>giugno 2023</v>
      </c>
      <c r="C129" s="14" t="s">
        <v>7</v>
      </c>
      <c r="D129" s="15"/>
      <c r="E129" s="15">
        <v>27.05</v>
      </c>
      <c r="F129" s="15">
        <f>F128+Budget23[[#This Row],[ENTRATE]]-Budget23[[#This Row],[USCITE]]</f>
        <v>2587.3900000000026</v>
      </c>
    </row>
    <row r="130" spans="1:6" x14ac:dyDescent="0.25">
      <c r="A130" s="12">
        <v>45093</v>
      </c>
      <c r="B130" s="13" t="str">
        <f>TEXT(Budget23[[#This Row],[DATA]],"mmmm")&amp;" "&amp;TEXT(Budget23[[#This Row],[DATA]],"aaaa")</f>
        <v>giugno 2023</v>
      </c>
      <c r="C130" s="14" t="s">
        <v>7</v>
      </c>
      <c r="D130" s="15"/>
      <c r="E130" s="15">
        <v>27.1</v>
      </c>
      <c r="F130" s="15">
        <f>F129+Budget23[[#This Row],[ENTRATE]]-Budget23[[#This Row],[USCITE]]</f>
        <v>2560.2900000000027</v>
      </c>
    </row>
    <row r="131" spans="1:6" x14ac:dyDescent="0.25">
      <c r="A131" s="12">
        <v>45105</v>
      </c>
      <c r="B131" s="13" t="str">
        <f>TEXT(Budget23[[#This Row],[DATA]],"mmmm")&amp;" "&amp;TEXT(Budget23[[#This Row],[DATA]],"aaaa")</f>
        <v>giugno 2023</v>
      </c>
      <c r="C131" s="14" t="s">
        <v>11</v>
      </c>
      <c r="D131" s="15"/>
      <c r="E131" s="15">
        <v>1000.5</v>
      </c>
      <c r="F131" s="15">
        <f>F130+Budget23[[#This Row],[ENTRATE]]-Budget23[[#This Row],[USCITE]]</f>
        <v>1559.7900000000027</v>
      </c>
    </row>
    <row r="132" spans="1:6" x14ac:dyDescent="0.25">
      <c r="A132" s="12">
        <v>45107</v>
      </c>
      <c r="B132" s="13" t="str">
        <f>TEXT(Budget23[[#This Row],[DATA]],"mmmm")&amp;" "&amp;TEXT(Budget23[[#This Row],[DATA]],"aaaa")</f>
        <v>giugno 2023</v>
      </c>
      <c r="C132" s="14" t="s">
        <v>18</v>
      </c>
      <c r="D132" s="15"/>
      <c r="E132" s="15">
        <v>307.01</v>
      </c>
      <c r="F132" s="15">
        <f>F131+Budget23[[#This Row],[ENTRATE]]-Budget23[[#This Row],[USCITE]]</f>
        <v>1252.7800000000027</v>
      </c>
    </row>
    <row r="133" spans="1:6" x14ac:dyDescent="0.25">
      <c r="A133" s="12">
        <v>45111</v>
      </c>
      <c r="B133" s="13" t="str">
        <f>TEXT(Budget23[[#This Row],[DATA]],"mmmm")&amp;" "&amp;TEXT(Budget23[[#This Row],[DATA]],"aaaa")</f>
        <v>luglio 2023</v>
      </c>
      <c r="C133" s="13" t="s">
        <v>167</v>
      </c>
      <c r="D133" s="15"/>
      <c r="E133" s="15">
        <v>2.7</v>
      </c>
      <c r="F133" s="15">
        <f>F132+Budget23[[#This Row],[ENTRATE]]-Budget23[[#This Row],[USCITE]]</f>
        <v>1250.0800000000027</v>
      </c>
    </row>
    <row r="134" spans="1:6" x14ac:dyDescent="0.25">
      <c r="A134" s="12">
        <v>45111</v>
      </c>
      <c r="B134" s="13" t="str">
        <f>TEXT(Budget23[[#This Row],[DATA]],"mmmm")&amp;" "&amp;TEXT(Budget23[[#This Row],[DATA]],"aaaa")</f>
        <v>luglio 2023</v>
      </c>
      <c r="C134" s="13" t="s">
        <v>7</v>
      </c>
      <c r="D134" s="15"/>
      <c r="E134" s="15">
        <v>50.01</v>
      </c>
      <c r="F134" s="15">
        <f>F133+Budget23[[#This Row],[ENTRATE]]-Budget23[[#This Row],[USCITE]]</f>
        <v>1200.0700000000027</v>
      </c>
    </row>
    <row r="135" spans="1:6" x14ac:dyDescent="0.25">
      <c r="A135" s="12">
        <v>45116</v>
      </c>
      <c r="B135" s="13" t="str">
        <f>TEXT(Budget23[[#This Row],[DATA]],"mmmm")&amp;" "&amp;TEXT(Budget23[[#This Row],[DATA]],"aaaa")</f>
        <v>luglio 2023</v>
      </c>
      <c r="C135" s="13" t="s">
        <v>167</v>
      </c>
      <c r="D135" s="15"/>
      <c r="E135" s="15">
        <f>18+6</f>
        <v>24</v>
      </c>
      <c r="F135" s="15">
        <f>F134+Budget23[[#This Row],[ENTRATE]]-Budget23[[#This Row],[USCITE]]</f>
        <v>1176.0700000000027</v>
      </c>
    </row>
    <row r="136" spans="1:6" x14ac:dyDescent="0.25">
      <c r="A136" s="12">
        <v>45116</v>
      </c>
      <c r="B136" s="13" t="str">
        <f>TEXT(Budget23[[#This Row],[DATA]],"mmmm")&amp;" "&amp;TEXT(Budget23[[#This Row],[DATA]],"aaaa")</f>
        <v>luglio 2023</v>
      </c>
      <c r="C136" s="13" t="s">
        <v>8</v>
      </c>
      <c r="D136" s="15"/>
      <c r="E136" s="15">
        <v>44.87</v>
      </c>
      <c r="F136" s="15">
        <f>F135+Budget23[[#This Row],[ENTRATE]]-Budget23[[#This Row],[USCITE]]</f>
        <v>1131.2000000000028</v>
      </c>
    </row>
    <row r="137" spans="1:6" x14ac:dyDescent="0.25">
      <c r="A137" s="12">
        <v>45118</v>
      </c>
      <c r="B137" s="13" t="str">
        <f>TEXT(Budget23[[#This Row],[DATA]],"mmmm")&amp;" "&amp;TEXT(Budget23[[#This Row],[DATA]],"aaaa")</f>
        <v>luglio 2023</v>
      </c>
      <c r="C137" s="14" t="s">
        <v>10</v>
      </c>
      <c r="D137" s="15">
        <v>2795</v>
      </c>
      <c r="E137" s="15"/>
      <c r="F137" s="15">
        <f>F136+Budget23[[#This Row],[ENTRATE]]-Budget23[[#This Row],[USCITE]]</f>
        <v>3926.2000000000025</v>
      </c>
    </row>
    <row r="138" spans="1:6" x14ac:dyDescent="0.25">
      <c r="A138" s="12">
        <v>45119</v>
      </c>
      <c r="B138" s="13" t="str">
        <f>TEXT(Budget23[[#This Row],[DATA]],"mmmm")&amp;" "&amp;TEXT(Budget23[[#This Row],[DATA]],"aaaa")</f>
        <v>luglio 2023</v>
      </c>
      <c r="C138" s="14" t="s">
        <v>11</v>
      </c>
      <c r="D138" s="15"/>
      <c r="E138" s="15">
        <v>1074.5</v>
      </c>
      <c r="F138" s="15">
        <f>F137+Budget23[[#This Row],[ENTRATE]]-Budget23[[#This Row],[USCITE]]</f>
        <v>2851.7000000000025</v>
      </c>
    </row>
    <row r="139" spans="1:6" x14ac:dyDescent="0.25">
      <c r="A139" s="12">
        <v>45123</v>
      </c>
      <c r="B139" s="13" t="str">
        <f>TEXT(Budget23[[#This Row],[DATA]],"mmmm")&amp;" "&amp;TEXT(Budget23[[#This Row],[DATA]],"aaaa")</f>
        <v>luglio 2023</v>
      </c>
      <c r="C139" s="14" t="s">
        <v>14</v>
      </c>
      <c r="D139" s="15"/>
      <c r="E139" s="15">
        <v>53.94</v>
      </c>
      <c r="F139" s="15">
        <f>F138+Budget23[[#This Row],[ENTRATE]]-Budget23[[#This Row],[USCITE]]</f>
        <v>2797.7600000000025</v>
      </c>
    </row>
    <row r="140" spans="1:6" x14ac:dyDescent="0.25">
      <c r="A140" s="12">
        <v>45123</v>
      </c>
      <c r="B140" s="13" t="str">
        <f>TEXT(Budget23[[#This Row],[DATA]],"mmmm")&amp;" "&amp;TEXT(Budget23[[#This Row],[DATA]],"aaaa")</f>
        <v>luglio 2023</v>
      </c>
      <c r="C140" s="14" t="s">
        <v>7</v>
      </c>
      <c r="D140" s="15"/>
      <c r="E140" s="15">
        <v>26.01</v>
      </c>
      <c r="F140" s="15">
        <f>F139+Budget23[[#This Row],[ENTRATE]]-Budget23[[#This Row],[USCITE]]</f>
        <v>2771.7500000000023</v>
      </c>
    </row>
    <row r="141" spans="1:6" x14ac:dyDescent="0.25">
      <c r="A141" s="12">
        <v>45123</v>
      </c>
      <c r="B141" s="13" t="str">
        <f>TEXT(Budget23[[#This Row],[DATA]],"mmmm")&amp;" "&amp;TEXT(Budget23[[#This Row],[DATA]],"aaaa")</f>
        <v>luglio 2023</v>
      </c>
      <c r="C141" s="14" t="s">
        <v>13</v>
      </c>
      <c r="D141" s="15"/>
      <c r="E141" s="15">
        <v>3.65</v>
      </c>
      <c r="F141" s="15">
        <f>F140+Budget23[[#This Row],[ENTRATE]]-Budget23[[#This Row],[USCITE]]</f>
        <v>2768.1000000000022</v>
      </c>
    </row>
    <row r="142" spans="1:6" x14ac:dyDescent="0.25">
      <c r="A142" s="12">
        <v>45123</v>
      </c>
      <c r="B142" s="13" t="str">
        <f>TEXT(Budget23[[#This Row],[DATA]],"mmmm")&amp;" "&amp;TEXT(Budget23[[#This Row],[DATA]],"aaaa")</f>
        <v>luglio 2023</v>
      </c>
      <c r="C142" s="14" t="s">
        <v>159</v>
      </c>
      <c r="D142" s="15"/>
      <c r="E142" s="15">
        <v>99.99</v>
      </c>
      <c r="F142" s="15">
        <f>F141+Budget23[[#This Row],[ENTRATE]]-Budget23[[#This Row],[USCITE]]</f>
        <v>2668.1100000000024</v>
      </c>
    </row>
    <row r="143" spans="1:6" x14ac:dyDescent="0.25">
      <c r="A143" s="12">
        <v>45123</v>
      </c>
      <c r="B143" s="13" t="str">
        <f>TEXT(Budget23[[#This Row],[DATA]],"mmmm")&amp;" "&amp;TEXT(Budget23[[#This Row],[DATA]],"aaaa")</f>
        <v>luglio 2023</v>
      </c>
      <c r="C143" s="14" t="s">
        <v>7</v>
      </c>
      <c r="D143" s="15"/>
      <c r="E143" s="15">
        <v>27.8</v>
      </c>
      <c r="F143" s="15">
        <f>F142+Budget23[[#This Row],[ENTRATE]]-Budget23[[#This Row],[USCITE]]</f>
        <v>2640.3100000000022</v>
      </c>
    </row>
    <row r="144" spans="1:6" x14ac:dyDescent="0.25">
      <c r="A144" s="12">
        <v>45123</v>
      </c>
      <c r="B144" s="13" t="str">
        <f>TEXT(Budget23[[#This Row],[DATA]],"mmmm")&amp;" "&amp;TEXT(Budget23[[#This Row],[DATA]],"aaaa")</f>
        <v>luglio 2023</v>
      </c>
      <c r="C144" s="14" t="s">
        <v>46</v>
      </c>
      <c r="D144" s="15"/>
      <c r="E144" s="15">
        <v>182.47</v>
      </c>
      <c r="F144" s="15">
        <f>F143+Budget23[[#This Row],[ENTRATE]]-Budget23[[#This Row],[USCITE]]</f>
        <v>2457.8400000000024</v>
      </c>
    </row>
    <row r="145" spans="1:6" x14ac:dyDescent="0.25">
      <c r="A145" s="12">
        <v>45123</v>
      </c>
      <c r="B145" s="13" t="str">
        <f>TEXT(Budget23[[#This Row],[DATA]],"mmmm")&amp;" "&amp;TEXT(Budget23[[#This Row],[DATA]],"aaaa")</f>
        <v>luglio 2023</v>
      </c>
      <c r="C145" s="14" t="s">
        <v>7</v>
      </c>
      <c r="D145" s="15"/>
      <c r="E145" s="15">
        <v>27.9</v>
      </c>
      <c r="F145" s="15">
        <f>F144+Budget23[[#This Row],[ENTRATE]]-Budget23[[#This Row],[USCITE]]</f>
        <v>2429.9400000000023</v>
      </c>
    </row>
    <row r="146" spans="1:6" x14ac:dyDescent="0.25">
      <c r="A146" s="12">
        <v>45123</v>
      </c>
      <c r="B146" s="13" t="str">
        <f>TEXT(Budget23[[#This Row],[DATA]],"mmmm")&amp;" "&amp;TEXT(Budget23[[#This Row],[DATA]],"aaaa")</f>
        <v>luglio 2023</v>
      </c>
      <c r="C146" s="14" t="s">
        <v>7</v>
      </c>
      <c r="D146" s="15"/>
      <c r="E146" s="15">
        <v>27.4</v>
      </c>
      <c r="F146" s="15">
        <f>F145+Budget23[[#This Row],[ENTRATE]]-Budget23[[#This Row],[USCITE]]</f>
        <v>2402.5400000000022</v>
      </c>
    </row>
    <row r="147" spans="1:6" x14ac:dyDescent="0.25">
      <c r="A147" s="12">
        <v>45123</v>
      </c>
      <c r="B147" s="13" t="str">
        <f>TEXT(Budget23[[#This Row],[DATA]],"mmmm")&amp;" "&amp;TEXT(Budget23[[#This Row],[DATA]],"aaaa")</f>
        <v>luglio 2023</v>
      </c>
      <c r="C147" s="14" t="s">
        <v>14</v>
      </c>
      <c r="D147" s="15"/>
      <c r="E147" s="15">
        <v>41.77</v>
      </c>
      <c r="F147" s="15">
        <f>F146+Budget23[[#This Row],[ENTRATE]]-Budget23[[#This Row],[USCITE]]</f>
        <v>2360.7700000000023</v>
      </c>
    </row>
    <row r="148" spans="1:6" x14ac:dyDescent="0.25">
      <c r="A148" s="12">
        <v>45123</v>
      </c>
      <c r="B148" s="13" t="str">
        <f>TEXT(Budget23[[#This Row],[DATA]],"mmmm")&amp;" "&amp;TEXT(Budget23[[#This Row],[DATA]],"aaaa")</f>
        <v>luglio 2023</v>
      </c>
      <c r="C148" s="14" t="s">
        <v>46</v>
      </c>
      <c r="D148" s="15"/>
      <c r="E148" s="15">
        <v>13</v>
      </c>
      <c r="F148" s="15">
        <f>F147+Budget23[[#This Row],[ENTRATE]]-Budget23[[#This Row],[USCITE]]</f>
        <v>2347.7700000000023</v>
      </c>
    </row>
    <row r="149" spans="1:6" x14ac:dyDescent="0.25">
      <c r="A149" s="12">
        <v>45123</v>
      </c>
      <c r="B149" s="13" t="str">
        <f>TEXT(Budget23[[#This Row],[DATA]],"mmmm")&amp;" "&amp;TEXT(Budget23[[#This Row],[DATA]],"aaaa")</f>
        <v>luglio 2023</v>
      </c>
      <c r="C149" s="14" t="s">
        <v>7</v>
      </c>
      <c r="D149" s="15"/>
      <c r="E149" s="15">
        <v>24.9</v>
      </c>
      <c r="F149" s="15">
        <f>F148+Budget23[[#This Row],[ENTRATE]]-Budget23[[#This Row],[USCITE]]</f>
        <v>2322.8700000000022</v>
      </c>
    </row>
    <row r="150" spans="1:6" x14ac:dyDescent="0.25">
      <c r="A150" s="12">
        <v>45123</v>
      </c>
      <c r="B150" s="13" t="str">
        <f>TEXT(Budget23[[#This Row],[DATA]],"mmmm")&amp;" "&amp;TEXT(Budget23[[#This Row],[DATA]],"aaaa")</f>
        <v>luglio 2023</v>
      </c>
      <c r="C150" s="14" t="s">
        <v>70</v>
      </c>
      <c r="D150" s="15"/>
      <c r="E150" s="15">
        <v>40</v>
      </c>
      <c r="F150" s="15">
        <f>F149+Budget23[[#This Row],[ENTRATE]]-Budget23[[#This Row],[USCITE]]</f>
        <v>2282.8700000000022</v>
      </c>
    </row>
    <row r="151" spans="1:6" x14ac:dyDescent="0.25">
      <c r="A151" s="12">
        <v>45123</v>
      </c>
      <c r="B151" s="13" t="str">
        <f>TEXT(Budget23[[#This Row],[DATA]],"mmmm")&amp;" "&amp;TEXT(Budget23[[#This Row],[DATA]],"aaaa")</f>
        <v>luglio 2023</v>
      </c>
      <c r="C151" s="14" t="s">
        <v>168</v>
      </c>
      <c r="D151" s="15"/>
      <c r="E151" s="15">
        <v>133.5</v>
      </c>
      <c r="F151" s="15">
        <f>F150+Budget23[[#This Row],[ENTRATE]]-Budget23[[#This Row],[USCITE]]</f>
        <v>2149.3700000000022</v>
      </c>
    </row>
    <row r="152" spans="1:6" x14ac:dyDescent="0.25">
      <c r="A152" s="12">
        <v>45123</v>
      </c>
      <c r="B152" s="13" t="str">
        <f>TEXT(Budget23[[#This Row],[DATA]],"mmmm")&amp;" "&amp;TEXT(Budget23[[#This Row],[DATA]],"aaaa")</f>
        <v>luglio 2023</v>
      </c>
      <c r="C152" s="14" t="s">
        <v>169</v>
      </c>
      <c r="D152" s="15"/>
      <c r="E152" s="15">
        <v>30.99</v>
      </c>
      <c r="F152" s="15">
        <f>F151+Budget23[[#This Row],[ENTRATE]]-Budget23[[#This Row],[USCITE]]</f>
        <v>2118.3800000000024</v>
      </c>
    </row>
    <row r="153" spans="1:6" x14ac:dyDescent="0.25">
      <c r="A153" s="12">
        <v>45123</v>
      </c>
      <c r="B153" s="13" t="str">
        <f>TEXT(Budget23[[#This Row],[DATA]],"mmmm")&amp;" "&amp;TEXT(Budget23[[#This Row],[DATA]],"aaaa")</f>
        <v>luglio 2023</v>
      </c>
      <c r="C153" s="14" t="s">
        <v>7</v>
      </c>
      <c r="D153" s="15"/>
      <c r="E153" s="15">
        <v>28.4</v>
      </c>
      <c r="F153" s="15">
        <f>F152+Budget23[[#This Row],[ENTRATE]]-Budget23[[#This Row],[USCITE]]</f>
        <v>2089.9800000000023</v>
      </c>
    </row>
    <row r="154" spans="1:6" x14ac:dyDescent="0.25">
      <c r="A154" s="12">
        <v>45123</v>
      </c>
      <c r="B154" s="13" t="str">
        <f>TEXT(Budget23[[#This Row],[DATA]],"mmmm")&amp;" "&amp;TEXT(Budget23[[#This Row],[DATA]],"aaaa")</f>
        <v>luglio 2023</v>
      </c>
      <c r="C154" s="14" t="s">
        <v>6</v>
      </c>
      <c r="D154" s="15"/>
      <c r="E154" s="15">
        <v>2</v>
      </c>
      <c r="F154" s="15">
        <f>F153+Budget23[[#This Row],[ENTRATE]]-Budget23[[#This Row],[USCITE]]</f>
        <v>2087.9800000000023</v>
      </c>
    </row>
    <row r="155" spans="1:6" x14ac:dyDescent="0.25">
      <c r="A155" s="12">
        <v>45123</v>
      </c>
      <c r="B155" s="13" t="str">
        <f>TEXT(Budget23[[#This Row],[DATA]],"mmmm")&amp;" "&amp;TEXT(Budget23[[#This Row],[DATA]],"aaaa")</f>
        <v>luglio 2023</v>
      </c>
      <c r="C155" s="14" t="s">
        <v>9</v>
      </c>
      <c r="D155" s="15"/>
      <c r="E155" s="15">
        <v>100</v>
      </c>
      <c r="F155" s="15">
        <f>F154+Budget23[[#This Row],[ENTRATE]]-Budget23[[#This Row],[USCITE]]</f>
        <v>1987.9800000000023</v>
      </c>
    </row>
    <row r="156" spans="1:6" x14ac:dyDescent="0.25">
      <c r="A156" s="12">
        <v>45131</v>
      </c>
      <c r="B156" s="13" t="str">
        <f>TEXT(Budget23[[#This Row],[DATA]],"mmmm")&amp;" "&amp;TEXT(Budget23[[#This Row],[DATA]],"aaaa")</f>
        <v>luglio 2023</v>
      </c>
      <c r="C156" s="14" t="s">
        <v>7</v>
      </c>
      <c r="D156" s="15"/>
      <c r="E156" s="15">
        <v>65.010000000000005</v>
      </c>
      <c r="F156" s="15">
        <f>F155+Budget23[[#This Row],[ENTRATE]]-Budget23[[#This Row],[USCITE]]</f>
        <v>1922.9700000000023</v>
      </c>
    </row>
    <row r="157" spans="1:6" x14ac:dyDescent="0.25">
      <c r="A157" s="12">
        <v>45135</v>
      </c>
      <c r="B157" s="13" t="str">
        <f>TEXT(Budget23[[#This Row],[DATA]],"mmmm")&amp;" "&amp;TEXT(Budget23[[#This Row],[DATA]],"aaaa")</f>
        <v>luglio 2023</v>
      </c>
      <c r="C157" s="14" t="s">
        <v>7</v>
      </c>
      <c r="D157" s="15"/>
      <c r="E157" s="15">
        <v>41.01</v>
      </c>
      <c r="F157" s="15">
        <f>F156+Budget23[[#This Row],[ENTRATE]]-Budget23[[#This Row],[USCITE]]</f>
        <v>1881.9600000000023</v>
      </c>
    </row>
    <row r="158" spans="1:6" x14ac:dyDescent="0.25">
      <c r="A158" s="12">
        <v>45138</v>
      </c>
      <c r="B158" s="13" t="str">
        <f>TEXT(Budget23[[#This Row],[DATA]],"mmmm")&amp;" "&amp;TEXT(Budget23[[#This Row],[DATA]],"aaaa")</f>
        <v>luglio 2023</v>
      </c>
      <c r="C158" s="14" t="s">
        <v>18</v>
      </c>
      <c r="D158" s="15"/>
      <c r="E158" s="15">
        <v>307.01</v>
      </c>
      <c r="F158" s="15">
        <f>F157+Budget23[[#This Row],[ENTRATE]]-Budget23[[#This Row],[USCITE]]</f>
        <v>1574.9500000000023</v>
      </c>
    </row>
    <row r="159" spans="1:6" x14ac:dyDescent="0.25">
      <c r="A159" s="12">
        <v>45138</v>
      </c>
      <c r="B159" s="13" t="str">
        <f>TEXT(Budget23[[#This Row],[DATA]],"mmmm")&amp;" "&amp;TEXT(Budget23[[#This Row],[DATA]],"aaaa")</f>
        <v>luglio 2023</v>
      </c>
      <c r="C159" s="14" t="s">
        <v>9</v>
      </c>
      <c r="D159" s="15"/>
      <c r="E159" s="15">
        <v>100</v>
      </c>
      <c r="F159" s="15">
        <f>F158+Budget23[[#This Row],[ENTRATE]]-Budget23[[#This Row],[USCITE]]</f>
        <v>1474.9500000000023</v>
      </c>
    </row>
    <row r="160" spans="1:6" x14ac:dyDescent="0.25">
      <c r="A160" s="12">
        <v>45139</v>
      </c>
      <c r="B160" s="13" t="str">
        <f>TEXT(Budget23[[#This Row],[DATA]],"mmmm")&amp;" "&amp;TEXT(Budget23[[#This Row],[DATA]],"aaaa")</f>
        <v>agosto 2023</v>
      </c>
      <c r="C160" s="14" t="s">
        <v>11</v>
      </c>
      <c r="D160" s="15"/>
      <c r="E160" s="15">
        <v>1000.5</v>
      </c>
      <c r="F160" s="15">
        <f>F159+Budget23[[#This Row],[ENTRATE]]-Budget23[[#This Row],[USCITE]]</f>
        <v>474.45000000000232</v>
      </c>
    </row>
    <row r="161" spans="1:6" x14ac:dyDescent="0.25">
      <c r="A161" s="12">
        <v>45142</v>
      </c>
      <c r="B161" s="13" t="str">
        <f>TEXT(Budget23[[#This Row],[DATA]],"mmmm")&amp;" "&amp;TEXT(Budget23[[#This Row],[DATA]],"aaaa")</f>
        <v>agosto 2023</v>
      </c>
      <c r="C161" s="14" t="s">
        <v>10</v>
      </c>
      <c r="D161" s="15">
        <v>1795</v>
      </c>
      <c r="E161" s="15"/>
      <c r="F161" s="15">
        <f>F160+Budget23[[#This Row],[ENTRATE]]-Budget23[[#This Row],[USCITE]]</f>
        <v>2269.4500000000025</v>
      </c>
    </row>
    <row r="162" spans="1:6" x14ac:dyDescent="0.25">
      <c r="A162" s="12">
        <v>45142</v>
      </c>
      <c r="B162" s="13" t="str">
        <f>TEXT(Budget23[[#This Row],[DATA]],"mmmm")&amp;" "&amp;TEXT(Budget23[[#This Row],[DATA]],"aaaa")</f>
        <v>agosto 2023</v>
      </c>
      <c r="C162" s="14" t="s">
        <v>170</v>
      </c>
      <c r="D162" s="15"/>
      <c r="E162" s="15">
        <v>21.71</v>
      </c>
      <c r="F162" s="15">
        <f>F161+Budget23[[#This Row],[ENTRATE]]-Budget23[[#This Row],[USCITE]]</f>
        <v>2247.7400000000025</v>
      </c>
    </row>
    <row r="163" spans="1:6" x14ac:dyDescent="0.25">
      <c r="A163" s="12">
        <v>45146</v>
      </c>
      <c r="B163" s="13" t="str">
        <f>TEXT(Budget23[[#This Row],[DATA]],"mmmm")&amp;" "&amp;TEXT(Budget23[[#This Row],[DATA]],"aaaa")</f>
        <v>agosto 2023</v>
      </c>
      <c r="C163" s="14" t="s">
        <v>106</v>
      </c>
      <c r="D163" s="15"/>
      <c r="E163" s="15">
        <v>22</v>
      </c>
      <c r="F163" s="15">
        <f>F162+Budget23[[#This Row],[ENTRATE]]-Budget23[[#This Row],[USCITE]]</f>
        <v>2225.7400000000025</v>
      </c>
    </row>
    <row r="164" spans="1:6" x14ac:dyDescent="0.25">
      <c r="A164" s="16">
        <v>45147</v>
      </c>
      <c r="B164" s="17" t="str">
        <f>TEXT(Budget23[[#This Row],[DATA]],"mmmm")&amp;" "&amp;TEXT(Budget23[[#This Row],[DATA]],"aaaa")</f>
        <v>agosto 2023</v>
      </c>
      <c r="C164" s="17" t="s">
        <v>8</v>
      </c>
      <c r="D164" s="19"/>
      <c r="E164" s="19">
        <v>44.87</v>
      </c>
      <c r="F164" s="15">
        <f>F163+Budget23[[#This Row],[ENTRATE]]-Budget23[[#This Row],[USCITE]]</f>
        <v>2180.8700000000026</v>
      </c>
    </row>
    <row r="165" spans="1:6" x14ac:dyDescent="0.25">
      <c r="A165" s="12">
        <v>45147</v>
      </c>
      <c r="B165" s="13" t="str">
        <f>TEXT(Budget23[[#This Row],[DATA]],"mmmm")&amp;" "&amp;TEXT(Budget23[[#This Row],[DATA]],"aaaa")</f>
        <v>agosto 2023</v>
      </c>
      <c r="C165" s="13" t="s">
        <v>9</v>
      </c>
      <c r="D165" s="15"/>
      <c r="E165" s="15">
        <v>100</v>
      </c>
      <c r="F165" s="15">
        <f>F164+Budget23[[#This Row],[ENTRATE]]-Budget23[[#This Row],[USCITE]]</f>
        <v>2080.8700000000026</v>
      </c>
    </row>
    <row r="166" spans="1:6" x14ac:dyDescent="0.25">
      <c r="A166" s="12">
        <v>45154</v>
      </c>
      <c r="B166" s="13" t="str">
        <f>TEXT(Budget23[[#This Row],[DATA]],"mmmm")&amp;" "&amp;TEXT(Budget23[[#This Row],[DATA]],"aaaa")</f>
        <v>agosto 2023</v>
      </c>
      <c r="C166" s="14" t="s">
        <v>13</v>
      </c>
      <c r="D166" s="15"/>
      <c r="E166" s="15">
        <v>3.65</v>
      </c>
      <c r="F166" s="15">
        <f>F165+Budget23[[#This Row],[ENTRATE]]-Budget23[[#This Row],[USCITE]]</f>
        <v>2077.2200000000025</v>
      </c>
    </row>
    <row r="167" spans="1:6" x14ac:dyDescent="0.25">
      <c r="A167" s="12">
        <v>45154</v>
      </c>
      <c r="B167" s="13" t="str">
        <f>TEXT(Budget23[[#This Row],[DATA]],"mmmm")&amp;" "&amp;TEXT(Budget23[[#This Row],[DATA]],"aaaa")</f>
        <v>agosto 2023</v>
      </c>
      <c r="C167" s="14" t="s">
        <v>7</v>
      </c>
      <c r="D167" s="15"/>
      <c r="E167" s="15">
        <v>26.6</v>
      </c>
      <c r="F167" s="15">
        <f>F166+Budget23[[#This Row],[ENTRATE]]-Budget23[[#This Row],[USCITE]]</f>
        <v>2050.6200000000026</v>
      </c>
    </row>
    <row r="168" spans="1:6" x14ac:dyDescent="0.25">
      <c r="A168" s="12">
        <v>45154</v>
      </c>
      <c r="B168" s="13" t="str">
        <f>TEXT(Budget23[[#This Row],[DATA]],"mmmm")&amp;" "&amp;TEXT(Budget23[[#This Row],[DATA]],"aaaa")</f>
        <v>agosto 2023</v>
      </c>
      <c r="C168" s="14" t="s">
        <v>14</v>
      </c>
      <c r="D168" s="15"/>
      <c r="E168" s="15">
        <v>189.05</v>
      </c>
      <c r="F168" s="15">
        <f>F167+Budget23[[#This Row],[ENTRATE]]-Budget23[[#This Row],[USCITE]]</f>
        <v>1861.5700000000027</v>
      </c>
    </row>
    <row r="169" spans="1:6" x14ac:dyDescent="0.25">
      <c r="A169" s="12">
        <v>45154</v>
      </c>
      <c r="B169" s="13" t="str">
        <f>TEXT(Budget23[[#This Row],[DATA]],"mmmm")&amp;" "&amp;TEXT(Budget23[[#This Row],[DATA]],"aaaa")</f>
        <v>agosto 2023</v>
      </c>
      <c r="C169" s="14" t="s">
        <v>7</v>
      </c>
      <c r="D169" s="15"/>
      <c r="E169" s="15">
        <v>28.55</v>
      </c>
      <c r="F169" s="15">
        <f>F168+Budget23[[#This Row],[ENTRATE]]-Budget23[[#This Row],[USCITE]]</f>
        <v>1833.0200000000027</v>
      </c>
    </row>
    <row r="170" spans="1:6" x14ac:dyDescent="0.25">
      <c r="A170" s="12">
        <v>45154</v>
      </c>
      <c r="B170" s="13" t="str">
        <f>TEXT(Budget23[[#This Row],[DATA]],"mmmm")&amp;" "&amp;TEXT(Budget23[[#This Row],[DATA]],"aaaa")</f>
        <v>agosto 2023</v>
      </c>
      <c r="C170" s="14" t="s">
        <v>7</v>
      </c>
      <c r="D170" s="15"/>
      <c r="E170" s="15">
        <v>27.61</v>
      </c>
      <c r="F170" s="15">
        <f>F169+Budget23[[#This Row],[ENTRATE]]-Budget23[[#This Row],[USCITE]]</f>
        <v>1805.4100000000028</v>
      </c>
    </row>
    <row r="171" spans="1:6" x14ac:dyDescent="0.25">
      <c r="A171" s="12">
        <v>45154</v>
      </c>
      <c r="B171" s="13" t="str">
        <f>TEXT(Budget23[[#This Row],[DATA]],"mmmm")&amp;" "&amp;TEXT(Budget23[[#This Row],[DATA]],"aaaa")</f>
        <v>agosto 2023</v>
      </c>
      <c r="C171" s="14" t="s">
        <v>7</v>
      </c>
      <c r="D171" s="15"/>
      <c r="E171" s="15">
        <v>28.01</v>
      </c>
      <c r="F171" s="15">
        <f>F170+Budget23[[#This Row],[ENTRATE]]-Budget23[[#This Row],[USCITE]]</f>
        <v>1777.4000000000028</v>
      </c>
    </row>
    <row r="172" spans="1:6" x14ac:dyDescent="0.25">
      <c r="A172" s="12">
        <v>45154</v>
      </c>
      <c r="B172" s="13" t="str">
        <f>TEXT(Budget23[[#This Row],[DATA]],"mmmm")&amp;" "&amp;TEXT(Budget23[[#This Row],[DATA]],"aaaa")</f>
        <v>agosto 2023</v>
      </c>
      <c r="C172" s="14" t="s">
        <v>6</v>
      </c>
      <c r="D172" s="15"/>
      <c r="E172" s="15">
        <v>2</v>
      </c>
      <c r="F172" s="15">
        <f>F171+Budget23[[#This Row],[ENTRATE]]-Budget23[[#This Row],[USCITE]]</f>
        <v>1775.4000000000028</v>
      </c>
    </row>
    <row r="173" spans="1:6" x14ac:dyDescent="0.25">
      <c r="A173" s="12">
        <v>45161</v>
      </c>
      <c r="B173" s="13" t="str">
        <f>TEXT(Budget23[[#This Row],[DATA]],"mmmm")&amp;" "&amp;TEXT(Budget23[[#This Row],[DATA]],"aaaa")</f>
        <v>agosto 2023</v>
      </c>
      <c r="C173" s="14" t="s">
        <v>7</v>
      </c>
      <c r="D173" s="15"/>
      <c r="E173" s="15">
        <v>50</v>
      </c>
      <c r="F173" s="15">
        <f>F172+Budget23[[#This Row],[ENTRATE]]-Budget23[[#This Row],[USCITE]]</f>
        <v>1725.4000000000028</v>
      </c>
    </row>
    <row r="174" spans="1:6" x14ac:dyDescent="0.25">
      <c r="A174" s="12">
        <v>45163</v>
      </c>
      <c r="B174" s="13" t="str">
        <f>TEXT(Budget23[[#This Row],[DATA]],"mmmm")&amp;" "&amp;TEXT(Budget23[[#This Row],[DATA]],"aaaa")</f>
        <v>agosto 2023</v>
      </c>
      <c r="C174" s="14" t="s">
        <v>7</v>
      </c>
      <c r="D174" s="15"/>
      <c r="E174" s="15">
        <v>90</v>
      </c>
      <c r="F174" s="15">
        <f>F173+Budget23[[#This Row],[ENTRATE]]-Budget23[[#This Row],[USCITE]]</f>
        <v>1635.4000000000028</v>
      </c>
    </row>
    <row r="175" spans="1:6" x14ac:dyDescent="0.25">
      <c r="A175" s="12">
        <v>45169</v>
      </c>
      <c r="B175" s="13" t="str">
        <f>TEXT(Budget23[[#This Row],[DATA]],"mmmm")&amp;" "&amp;TEXT(Budget23[[#This Row],[DATA]],"aaaa")</f>
        <v>agosto 2023</v>
      </c>
      <c r="C175" s="14" t="s">
        <v>18</v>
      </c>
      <c r="D175" s="15"/>
      <c r="E175" s="15">
        <v>307.01</v>
      </c>
      <c r="F175" s="15">
        <f>F174+Budget23[[#This Row],[ENTRATE]]-Budget23[[#This Row],[USCITE]]</f>
        <v>1328.3900000000028</v>
      </c>
    </row>
    <row r="176" spans="1:6" x14ac:dyDescent="0.25">
      <c r="A176" s="16">
        <v>45170</v>
      </c>
      <c r="B176" s="17" t="str">
        <f>TEXT(Budget23[[#This Row],[DATA]],"mmmm")&amp;" "&amp;TEXT(Budget23[[#This Row],[DATA]],"aaaa")</f>
        <v>settembre 2023</v>
      </c>
      <c r="C176" s="18" t="s">
        <v>11</v>
      </c>
      <c r="D176" s="19"/>
      <c r="E176" s="19">
        <v>1000.5</v>
      </c>
      <c r="F176" s="15">
        <f>F175+Budget23[[#This Row],[ENTRATE]]-Budget23[[#This Row],[USCITE]]</f>
        <v>327.89000000000283</v>
      </c>
    </row>
    <row r="177" spans="1:6" x14ac:dyDescent="0.25">
      <c r="A177" s="12">
        <v>45171</v>
      </c>
      <c r="B177" s="13" t="str">
        <f>TEXT(Budget23[[#This Row],[DATA]],"mmmm")&amp;" "&amp;TEXT(Budget23[[#This Row],[DATA]],"aaaa")</f>
        <v>settembre 2023</v>
      </c>
      <c r="C177" s="13" t="s">
        <v>9</v>
      </c>
      <c r="D177" s="15"/>
      <c r="E177" s="15">
        <v>100</v>
      </c>
      <c r="F177" s="15">
        <f>F176+Budget23[[#This Row],[ENTRATE]]-Budget23[[#This Row],[USCITE]]</f>
        <v>227.89000000000283</v>
      </c>
    </row>
    <row r="178" spans="1:6" x14ac:dyDescent="0.25">
      <c r="A178" s="12">
        <v>45178</v>
      </c>
      <c r="B178" s="13" t="str">
        <f>TEXT(Budget23[[#This Row],[DATA]],"mmmm")&amp;" "&amp;TEXT(Budget23[[#This Row],[DATA]],"aaaa")</f>
        <v>settembre 2023</v>
      </c>
      <c r="C178" s="13" t="s">
        <v>8</v>
      </c>
      <c r="D178" s="15"/>
      <c r="E178" s="15">
        <v>44.87</v>
      </c>
      <c r="F178" s="15">
        <f>F177+Budget23[[#This Row],[ENTRATE]]-Budget23[[#This Row],[USCITE]]</f>
        <v>183.02000000000282</v>
      </c>
    </row>
    <row r="179" spans="1:6" x14ac:dyDescent="0.25">
      <c r="A179" s="12">
        <v>45181</v>
      </c>
      <c r="B179" s="13" t="str">
        <f>TEXT(Budget23[[#This Row],[DATA]],"mmmm")&amp;" "&amp;TEXT(Budget23[[#This Row],[DATA]],"aaaa")</f>
        <v>settembre 2023</v>
      </c>
      <c r="C179" s="14" t="s">
        <v>10</v>
      </c>
      <c r="D179" s="15">
        <v>1794</v>
      </c>
      <c r="E179" s="15"/>
      <c r="F179" s="15">
        <f>F178+Budget23[[#This Row],[ENTRATE]]-Budget23[[#This Row],[USCITE]]</f>
        <v>1977.0200000000027</v>
      </c>
    </row>
    <row r="180" spans="1:6" x14ac:dyDescent="0.25">
      <c r="A180" s="12">
        <v>45185</v>
      </c>
      <c r="B180" s="13" t="str">
        <f>TEXT(Budget23[[#This Row],[DATA]],"mmmm")&amp;" "&amp;TEXT(Budget23[[#This Row],[DATA]],"aaaa")</f>
        <v>settembre 2023</v>
      </c>
      <c r="C180" s="14" t="s">
        <v>7</v>
      </c>
      <c r="D180" s="15"/>
      <c r="E180" s="15">
        <v>28.46</v>
      </c>
      <c r="F180" s="15">
        <f>F179+Budget23[[#This Row],[ENTRATE]]-Budget23[[#This Row],[USCITE]]</f>
        <v>1948.5600000000027</v>
      </c>
    </row>
    <row r="181" spans="1:6" x14ac:dyDescent="0.25">
      <c r="A181" s="12">
        <v>45185</v>
      </c>
      <c r="B181" s="13" t="str">
        <f>TEXT(Budget23[[#This Row],[DATA]],"mmmm")&amp;" "&amp;TEXT(Budget23[[#This Row],[DATA]],"aaaa")</f>
        <v>settembre 2023</v>
      </c>
      <c r="C181" s="14" t="s">
        <v>13</v>
      </c>
      <c r="D181" s="15"/>
      <c r="E181" s="15">
        <v>3.65</v>
      </c>
      <c r="F181" s="15">
        <f>F180+Budget23[[#This Row],[ENTRATE]]-Budget23[[#This Row],[USCITE]]</f>
        <v>1944.9100000000026</v>
      </c>
    </row>
    <row r="182" spans="1:6" x14ac:dyDescent="0.25">
      <c r="A182" s="12">
        <v>45185</v>
      </c>
      <c r="B182" s="13" t="str">
        <f>TEXT(Budget23[[#This Row],[DATA]],"mmmm")&amp;" "&amp;TEXT(Budget23[[#This Row],[DATA]],"aaaa")</f>
        <v>settembre 2023</v>
      </c>
      <c r="C182" s="14" t="s">
        <v>106</v>
      </c>
      <c r="D182" s="15"/>
      <c r="E182" s="15">
        <v>20</v>
      </c>
      <c r="F182" s="15">
        <f>F181+Budget23[[#This Row],[ENTRATE]]-Budget23[[#This Row],[USCITE]]</f>
        <v>1924.9100000000026</v>
      </c>
    </row>
    <row r="183" spans="1:6" x14ac:dyDescent="0.25">
      <c r="A183" s="12">
        <v>45185</v>
      </c>
      <c r="B183" s="13" t="str">
        <f>TEXT(Budget23[[#This Row],[DATA]],"mmmm")&amp;" "&amp;TEXT(Budget23[[#This Row],[DATA]],"aaaa")</f>
        <v>settembre 2023</v>
      </c>
      <c r="C183" s="14" t="s">
        <v>171</v>
      </c>
      <c r="D183" s="15"/>
      <c r="E183" s="15">
        <v>45</v>
      </c>
      <c r="F183" s="15">
        <f>F182+Budget23[[#This Row],[ENTRATE]]-Budget23[[#This Row],[USCITE]]</f>
        <v>1879.9100000000026</v>
      </c>
    </row>
    <row r="184" spans="1:6" x14ac:dyDescent="0.25">
      <c r="A184" s="12">
        <v>45185</v>
      </c>
      <c r="B184" s="13" t="str">
        <f>TEXT(Budget23[[#This Row],[DATA]],"mmmm")&amp;" "&amp;TEXT(Budget23[[#This Row],[DATA]],"aaaa")</f>
        <v>settembre 2023</v>
      </c>
      <c r="C184" s="14" t="s">
        <v>23</v>
      </c>
      <c r="D184" s="15"/>
      <c r="E184" s="15">
        <v>12.6</v>
      </c>
      <c r="F184" s="15">
        <f>F183+Budget23[[#This Row],[ENTRATE]]-Budget23[[#This Row],[USCITE]]</f>
        <v>1867.3100000000027</v>
      </c>
    </row>
    <row r="185" spans="1:6" x14ac:dyDescent="0.25">
      <c r="A185" s="12">
        <v>45185</v>
      </c>
      <c r="B185" s="13" t="str">
        <f>TEXT(Budget23[[#This Row],[DATA]],"mmmm")&amp;" "&amp;TEXT(Budget23[[#This Row],[DATA]],"aaaa")</f>
        <v>settembre 2023</v>
      </c>
      <c r="C185" s="14" t="s">
        <v>14</v>
      </c>
      <c r="D185" s="15"/>
      <c r="E185" s="15">
        <v>49.64</v>
      </c>
      <c r="F185" s="15">
        <f>F184+Budget23[[#This Row],[ENTRATE]]-Budget23[[#This Row],[USCITE]]</f>
        <v>1817.6700000000026</v>
      </c>
    </row>
    <row r="186" spans="1:6" x14ac:dyDescent="0.25">
      <c r="A186" s="12">
        <v>45185</v>
      </c>
      <c r="B186" s="13" t="str">
        <f>TEXT(Budget23[[#This Row],[DATA]],"mmmm")&amp;" "&amp;TEXT(Budget23[[#This Row],[DATA]],"aaaa")</f>
        <v>settembre 2023</v>
      </c>
      <c r="C186" s="14" t="s">
        <v>21</v>
      </c>
      <c r="D186" s="15"/>
      <c r="E186" s="15">
        <v>47.2</v>
      </c>
      <c r="F186" s="15">
        <f>F185+Budget23[[#This Row],[ENTRATE]]-Budget23[[#This Row],[USCITE]]</f>
        <v>1770.4700000000025</v>
      </c>
    </row>
    <row r="187" spans="1:6" x14ac:dyDescent="0.25">
      <c r="A187" s="12">
        <v>45185</v>
      </c>
      <c r="B187" s="13" t="str">
        <f>TEXT(Budget23[[#This Row],[DATA]],"mmmm")&amp;" "&amp;TEXT(Budget23[[#This Row],[DATA]],"aaaa")</f>
        <v>settembre 2023</v>
      </c>
      <c r="C187" s="14" t="s">
        <v>64</v>
      </c>
      <c r="D187" s="15"/>
      <c r="E187" s="15">
        <v>55.6</v>
      </c>
      <c r="F187" s="15">
        <f>F186+Budget23[[#This Row],[ENTRATE]]-Budget23[[#This Row],[USCITE]]</f>
        <v>1714.8700000000026</v>
      </c>
    </row>
    <row r="188" spans="1:6" x14ac:dyDescent="0.25">
      <c r="A188" s="12">
        <v>45185</v>
      </c>
      <c r="B188" s="13" t="str">
        <f>TEXT(Budget23[[#This Row],[DATA]],"mmmm")&amp;" "&amp;TEXT(Budget23[[#This Row],[DATA]],"aaaa")</f>
        <v>settembre 2023</v>
      </c>
      <c r="C188" s="14" t="s">
        <v>7</v>
      </c>
      <c r="D188" s="15"/>
      <c r="E188" s="15">
        <v>26.14</v>
      </c>
      <c r="F188" s="15">
        <f>F187+Budget23[[#This Row],[ENTRATE]]-Budget23[[#This Row],[USCITE]]</f>
        <v>1688.7300000000025</v>
      </c>
    </row>
    <row r="189" spans="1:6" x14ac:dyDescent="0.25">
      <c r="A189" s="12">
        <v>45185</v>
      </c>
      <c r="B189" s="13" t="str">
        <f>TEXT(Budget23[[#This Row],[DATA]],"mmmm")&amp;" "&amp;TEXT(Budget23[[#This Row],[DATA]],"aaaa")</f>
        <v>settembre 2023</v>
      </c>
      <c r="C189" s="14" t="s">
        <v>14</v>
      </c>
      <c r="D189" s="15"/>
      <c r="E189" s="15">
        <f>49.64-49.64</f>
        <v>0</v>
      </c>
      <c r="F189" s="15">
        <f>F188+Budget23[[#This Row],[ENTRATE]]-Budget23[[#This Row],[USCITE]]</f>
        <v>1688.7300000000025</v>
      </c>
    </row>
    <row r="190" spans="1:6" x14ac:dyDescent="0.25">
      <c r="A190" s="12">
        <v>45185</v>
      </c>
      <c r="B190" s="13" t="str">
        <f>TEXT(Budget23[[#This Row],[DATA]],"mmmm")&amp;" "&amp;TEXT(Budget23[[#This Row],[DATA]],"aaaa")</f>
        <v>settembre 2023</v>
      </c>
      <c r="C190" s="14" t="s">
        <v>122</v>
      </c>
      <c r="D190" s="15"/>
      <c r="E190" s="15">
        <v>15.5</v>
      </c>
      <c r="F190" s="15">
        <f>F189+Budget23[[#This Row],[ENTRATE]]-Budget23[[#This Row],[USCITE]]</f>
        <v>1673.2300000000025</v>
      </c>
    </row>
    <row r="191" spans="1:6" x14ac:dyDescent="0.25">
      <c r="A191" s="12">
        <v>45185</v>
      </c>
      <c r="B191" s="13" t="str">
        <f>TEXT(Budget23[[#This Row],[DATA]],"mmmm")&amp;" "&amp;TEXT(Budget23[[#This Row],[DATA]],"aaaa")</f>
        <v>settembre 2023</v>
      </c>
      <c r="C191" s="14" t="s">
        <v>14</v>
      </c>
      <c r="D191" s="15"/>
      <c r="E191" s="15">
        <v>29.98</v>
      </c>
      <c r="F191" s="15">
        <f>F190+Budget23[[#This Row],[ENTRATE]]-Budget23[[#This Row],[USCITE]]</f>
        <v>1643.2500000000025</v>
      </c>
    </row>
    <row r="192" spans="1:6" x14ac:dyDescent="0.25">
      <c r="A192" s="12">
        <v>45185</v>
      </c>
      <c r="B192" s="13" t="str">
        <f>TEXT(Budget23[[#This Row],[DATA]],"mmmm")&amp;" "&amp;TEXT(Budget23[[#This Row],[DATA]],"aaaa")</f>
        <v>settembre 2023</v>
      </c>
      <c r="C192" s="14" t="s">
        <v>14</v>
      </c>
      <c r="D192" s="15"/>
      <c r="E192" s="15">
        <v>39.380000000000003</v>
      </c>
      <c r="F192" s="15">
        <f>F191+Budget23[[#This Row],[ENTRATE]]-Budget23[[#This Row],[USCITE]]</f>
        <v>1603.8700000000024</v>
      </c>
    </row>
    <row r="193" spans="1:6" x14ac:dyDescent="0.25">
      <c r="A193" s="12">
        <v>45185</v>
      </c>
      <c r="B193" s="13" t="str">
        <f>TEXT(Budget23[[#This Row],[DATA]],"mmmm")&amp;" "&amp;TEXT(Budget23[[#This Row],[DATA]],"aaaa")</f>
        <v>settembre 2023</v>
      </c>
      <c r="C193" s="14" t="s">
        <v>172</v>
      </c>
      <c r="D193" s="15"/>
      <c r="E193" s="15">
        <v>110</v>
      </c>
      <c r="F193" s="15">
        <f>F192+Budget23[[#This Row],[ENTRATE]]-Budget23[[#This Row],[USCITE]]</f>
        <v>1493.8700000000024</v>
      </c>
    </row>
    <row r="194" spans="1:6" x14ac:dyDescent="0.25">
      <c r="A194" s="12">
        <v>45185</v>
      </c>
      <c r="B194" s="13" t="str">
        <f>TEXT(Budget23[[#This Row],[DATA]],"mmmm")&amp;" "&amp;TEXT(Budget23[[#This Row],[DATA]],"aaaa")</f>
        <v>settembre 2023</v>
      </c>
      <c r="C194" s="14" t="s">
        <v>14</v>
      </c>
      <c r="D194" s="15"/>
      <c r="E194" s="15">
        <v>43.73</v>
      </c>
      <c r="F194" s="15">
        <f>F193+Budget23[[#This Row],[ENTRATE]]-Budget23[[#This Row],[USCITE]]</f>
        <v>1450.1400000000024</v>
      </c>
    </row>
    <row r="195" spans="1:6" x14ac:dyDescent="0.25">
      <c r="A195" s="12">
        <v>45185</v>
      </c>
      <c r="B195" s="13" t="str">
        <f>TEXT(Budget23[[#This Row],[DATA]],"mmmm")&amp;" "&amp;TEXT(Budget23[[#This Row],[DATA]],"aaaa")</f>
        <v>settembre 2023</v>
      </c>
      <c r="C195" s="14" t="s">
        <v>7</v>
      </c>
      <c r="D195" s="15"/>
      <c r="E195" s="15">
        <v>25.45</v>
      </c>
      <c r="F195" s="15">
        <f>F194+Budget23[[#This Row],[ENTRATE]]-Budget23[[#This Row],[USCITE]]</f>
        <v>1424.6900000000023</v>
      </c>
    </row>
    <row r="196" spans="1:6" x14ac:dyDescent="0.25">
      <c r="A196" s="12">
        <v>45185</v>
      </c>
      <c r="B196" s="13" t="str">
        <f>TEXT(Budget23[[#This Row],[DATA]],"mmmm")&amp;" "&amp;TEXT(Budget23[[#This Row],[DATA]],"aaaa")</f>
        <v>settembre 2023</v>
      </c>
      <c r="C196" s="14" t="s">
        <v>6</v>
      </c>
      <c r="D196" s="15"/>
      <c r="E196" s="15">
        <f>6+2</f>
        <v>8</v>
      </c>
      <c r="F196" s="15">
        <f>F195+Budget23[[#This Row],[ENTRATE]]-Budget23[[#This Row],[USCITE]]</f>
        <v>1416.6900000000023</v>
      </c>
    </row>
    <row r="197" spans="1:6" x14ac:dyDescent="0.25">
      <c r="A197" s="12">
        <v>45195</v>
      </c>
      <c r="B197" s="13" t="str">
        <f>TEXT(Budget23[[#This Row],[DATA]],"mmmm")&amp;" "&amp;TEXT(Budget23[[#This Row],[DATA]],"aaaa")</f>
        <v>settembre 2023</v>
      </c>
      <c r="C197" s="14" t="s">
        <v>124</v>
      </c>
      <c r="D197" s="15"/>
      <c r="E197" s="15">
        <v>109</v>
      </c>
      <c r="F197" s="15">
        <f>F196+Budget23[[#This Row],[ENTRATE]]-Budget23[[#This Row],[USCITE]]</f>
        <v>1307.6900000000023</v>
      </c>
    </row>
    <row r="198" spans="1:6" x14ac:dyDescent="0.25">
      <c r="A198" s="12">
        <v>45196</v>
      </c>
      <c r="B198" s="13" t="str">
        <f>TEXT(Budget23[[#This Row],[DATA]],"mmmm")&amp;" "&amp;TEXT(Budget23[[#This Row],[DATA]],"aaaa")</f>
        <v>settembre 2023</v>
      </c>
      <c r="C198" s="14" t="s">
        <v>173</v>
      </c>
      <c r="D198" s="15"/>
      <c r="E198" s="15">
        <v>500.5</v>
      </c>
      <c r="F198" s="15">
        <f>F197+Budget23[[#This Row],[ENTRATE]]-Budget23[[#This Row],[USCITE]]</f>
        <v>807.19000000000233</v>
      </c>
    </row>
    <row r="199" spans="1:6" x14ac:dyDescent="0.25">
      <c r="A199" s="12">
        <v>45198</v>
      </c>
      <c r="B199" s="13" t="str">
        <f>TEXT(Budget23[[#This Row],[DATA]],"mmmm")&amp;" "&amp;TEXT(Budget23[[#This Row],[DATA]],"aaaa")</f>
        <v>settembre 2023</v>
      </c>
      <c r="C199" s="14" t="s">
        <v>174</v>
      </c>
      <c r="D199" s="15"/>
      <c r="E199" s="15">
        <v>250</v>
      </c>
      <c r="F199" s="15">
        <f>F198+Budget23[[#This Row],[ENTRATE]]-Budget23[[#This Row],[USCITE]]</f>
        <v>557.19000000000233</v>
      </c>
    </row>
    <row r="200" spans="1:6" x14ac:dyDescent="0.25">
      <c r="A200" s="12">
        <v>45199</v>
      </c>
      <c r="B200" s="13" t="str">
        <f>TEXT(Budget23[[#This Row],[DATA]],"mmmm")&amp;" "&amp;TEXT(Budget23[[#This Row],[DATA]],"aaaa")</f>
        <v>settembre 2023</v>
      </c>
      <c r="C200" s="14" t="s">
        <v>18</v>
      </c>
      <c r="D200" s="15"/>
      <c r="E200" s="15">
        <v>307.01</v>
      </c>
      <c r="F200" s="15">
        <f>F199+Budget23[[#This Row],[ENTRATE]]-Budget23[[#This Row],[USCITE]]</f>
        <v>250.18000000000234</v>
      </c>
    </row>
    <row r="201" spans="1:6" x14ac:dyDescent="0.25">
      <c r="A201" s="16">
        <v>45201</v>
      </c>
      <c r="B201" s="17" t="str">
        <f>TEXT(Budget23[[#This Row],[DATA]],"mmmm")&amp;" "&amp;TEXT(Budget23[[#This Row],[DATA]],"aaaa")</f>
        <v>ottobre 2023</v>
      </c>
      <c r="C201" s="17" t="s">
        <v>155</v>
      </c>
      <c r="D201" s="19"/>
      <c r="E201" s="19">
        <v>9.6</v>
      </c>
      <c r="F201" s="15">
        <f>F200+Budget23[[#This Row],[ENTRATE]]-Budget23[[#This Row],[USCITE]]</f>
        <v>240.58000000000234</v>
      </c>
    </row>
    <row r="202" spans="1:6" x14ac:dyDescent="0.25">
      <c r="A202" s="16">
        <v>45203</v>
      </c>
      <c r="B202" s="17" t="str">
        <f>TEXT(Budget23[[#This Row],[DATA]],"mmmm")&amp;" "&amp;TEXT(Budget23[[#This Row],[DATA]],"aaaa")</f>
        <v>ottobre 2023</v>
      </c>
      <c r="C202" s="17" t="s">
        <v>6</v>
      </c>
      <c r="D202" s="19"/>
      <c r="E202" s="19">
        <v>2.7</v>
      </c>
      <c r="F202" s="15">
        <f>F201+Budget23[[#This Row],[ENTRATE]]-Budget23[[#This Row],[USCITE]]</f>
        <v>237.88000000000235</v>
      </c>
    </row>
    <row r="203" spans="1:6" x14ac:dyDescent="0.25">
      <c r="A203" s="12">
        <v>45208</v>
      </c>
      <c r="B203" s="13" t="str">
        <f>TEXT(Budget23[[#This Row],[DATA]],"mmmm")&amp;" "&amp;TEXT(Budget23[[#This Row],[DATA]],"aaaa")</f>
        <v>ottobre 2023</v>
      </c>
      <c r="C203" s="13" t="s">
        <v>6</v>
      </c>
      <c r="D203" s="15"/>
      <c r="E203" s="15">
        <v>16</v>
      </c>
      <c r="F203" s="15">
        <f>F202+Budget23[[#This Row],[ENTRATE]]-Budget23[[#This Row],[USCITE]]</f>
        <v>221.88000000000235</v>
      </c>
    </row>
    <row r="204" spans="1:6" x14ac:dyDescent="0.25">
      <c r="A204" s="12">
        <v>45208</v>
      </c>
      <c r="B204" s="13" t="str">
        <f>TEXT(Budget23[[#This Row],[DATA]],"mmmm")&amp;" "&amp;TEXT(Budget23[[#This Row],[DATA]],"aaaa")</f>
        <v>ottobre 2023</v>
      </c>
      <c r="C204" s="13" t="s">
        <v>155</v>
      </c>
      <c r="D204" s="15"/>
      <c r="E204" s="15">
        <v>7.2</v>
      </c>
      <c r="F204" s="15">
        <f>F203+Budget23[[#This Row],[ENTRATE]]-Budget23[[#This Row],[USCITE]]</f>
        <v>214.68000000000237</v>
      </c>
    </row>
    <row r="205" spans="1:6" x14ac:dyDescent="0.25">
      <c r="A205" s="16">
        <v>45208</v>
      </c>
      <c r="B205" s="17" t="str">
        <f>TEXT(Budget23[[#This Row],[DATA]],"mmmm")&amp;" "&amp;TEXT(Budget23[[#This Row],[DATA]],"aaaa")</f>
        <v>ottobre 2023</v>
      </c>
      <c r="C205" s="17" t="s">
        <v>8</v>
      </c>
      <c r="D205" s="19"/>
      <c r="E205" s="19">
        <v>44.87</v>
      </c>
      <c r="F205" s="15">
        <f>F204+Budget23[[#This Row],[ENTRATE]]-Budget23[[#This Row],[USCITE]]</f>
        <v>169.81000000000236</v>
      </c>
    </row>
    <row r="206" spans="1:6" x14ac:dyDescent="0.25">
      <c r="A206" s="12">
        <v>45211</v>
      </c>
      <c r="B206" s="13" t="str">
        <f>TEXT(Budget23[[#This Row],[DATA]],"mmmm")&amp;" "&amp;TEXT(Budget23[[#This Row],[DATA]],"aaaa")</f>
        <v>ottobre 2023</v>
      </c>
      <c r="C206" s="14" t="s">
        <v>10</v>
      </c>
      <c r="D206" s="15">
        <v>1787</v>
      </c>
      <c r="E206" s="15"/>
      <c r="F206" s="15">
        <f>F205+Budget23[[#This Row],[ENTRATE]]-Budget23[[#This Row],[USCITE]]</f>
        <v>1956.8100000000024</v>
      </c>
    </row>
    <row r="207" spans="1:6" x14ac:dyDescent="0.25">
      <c r="A207" s="12">
        <v>45212</v>
      </c>
      <c r="B207" s="13" t="str">
        <f>TEXT(Budget23[[#This Row],[DATA]],"mmmm")&amp;" "&amp;TEXT(Budget23[[#This Row],[DATA]],"aaaa")</f>
        <v>ottobre 2023</v>
      </c>
      <c r="C207" s="14" t="s">
        <v>9</v>
      </c>
      <c r="D207" s="15"/>
      <c r="E207" s="15">
        <v>50</v>
      </c>
      <c r="F207" s="15">
        <f>F206+Budget23[[#This Row],[ENTRATE]]-Budget23[[#This Row],[USCITE]]</f>
        <v>1906.8100000000024</v>
      </c>
    </row>
    <row r="208" spans="1:6" x14ac:dyDescent="0.25">
      <c r="A208" s="12">
        <v>45214</v>
      </c>
      <c r="B208" s="13" t="str">
        <f>TEXT(Budget23[[#This Row],[DATA]],"mmmm")&amp;" "&amp;TEXT(Budget23[[#This Row],[DATA]],"aaaa")</f>
        <v>ottobre 2023</v>
      </c>
      <c r="C208" s="14" t="s">
        <v>175</v>
      </c>
      <c r="D208" s="15"/>
      <c r="E208" s="15">
        <v>510</v>
      </c>
      <c r="F208" s="15">
        <f>F207+Budget23[[#This Row],[ENTRATE]]-Budget23[[#This Row],[USCITE]]</f>
        <v>1396.8100000000024</v>
      </c>
    </row>
    <row r="209" spans="1:6" x14ac:dyDescent="0.25">
      <c r="A209" s="12">
        <v>45215</v>
      </c>
      <c r="B209" s="13" t="str">
        <f>TEXT(Budget23[[#This Row],[DATA]],"mmmm")&amp;" "&amp;TEXT(Budget23[[#This Row],[DATA]],"aaaa")</f>
        <v>ottobre 2023</v>
      </c>
      <c r="C209" s="14" t="s">
        <v>9</v>
      </c>
      <c r="D209" s="15"/>
      <c r="E209" s="15">
        <v>50</v>
      </c>
      <c r="F209" s="15">
        <f>F208+Budget23[[#This Row],[ENTRATE]]-Budget23[[#This Row],[USCITE]]</f>
        <v>1346.8100000000024</v>
      </c>
    </row>
    <row r="210" spans="1:6" x14ac:dyDescent="0.25">
      <c r="A210" s="12">
        <v>45215</v>
      </c>
      <c r="B210" s="13" t="str">
        <f>TEXT(Budget23[[#This Row],[DATA]],"mmmm")&amp;" "&amp;TEXT(Budget23[[#This Row],[DATA]],"aaaa")</f>
        <v>ottobre 2023</v>
      </c>
      <c r="C210" s="14" t="s">
        <v>13</v>
      </c>
      <c r="D210" s="15"/>
      <c r="E210" s="15">
        <v>3.99</v>
      </c>
      <c r="F210" s="15">
        <f>F209+Budget23[[#This Row],[ENTRATE]]-Budget23[[#This Row],[USCITE]]</f>
        <v>1342.8200000000024</v>
      </c>
    </row>
    <row r="211" spans="1:6" x14ac:dyDescent="0.25">
      <c r="A211" s="12">
        <v>45215</v>
      </c>
      <c r="B211" s="13" t="str">
        <f>TEXT(Budget23[[#This Row],[DATA]],"mmmm")&amp;" "&amp;TEXT(Budget23[[#This Row],[DATA]],"aaaa")</f>
        <v>ottobre 2023</v>
      </c>
      <c r="C211" s="14" t="s">
        <v>176</v>
      </c>
      <c r="D211" s="15"/>
      <c r="E211" s="15">
        <v>450.79</v>
      </c>
      <c r="F211" s="15">
        <f>F210+Budget23[[#This Row],[ENTRATE]]-Budget23[[#This Row],[USCITE]]</f>
        <v>892.03000000000247</v>
      </c>
    </row>
    <row r="212" spans="1:6" x14ac:dyDescent="0.25">
      <c r="A212" s="12">
        <v>45215</v>
      </c>
      <c r="B212" s="13" t="str">
        <f>TEXT(Budget23[[#This Row],[DATA]],"mmmm")&amp;" "&amp;TEXT(Budget23[[#This Row],[DATA]],"aaaa")</f>
        <v>ottobre 2023</v>
      </c>
      <c r="C212" s="14" t="s">
        <v>7</v>
      </c>
      <c r="D212" s="15"/>
      <c r="E212" s="15">
        <v>27.4</v>
      </c>
      <c r="F212" s="15">
        <f>F211+Budget23[[#This Row],[ENTRATE]]-Budget23[[#This Row],[USCITE]]</f>
        <v>864.6300000000025</v>
      </c>
    </row>
    <row r="213" spans="1:6" x14ac:dyDescent="0.25">
      <c r="A213" s="12">
        <v>45215</v>
      </c>
      <c r="B213" s="13" t="str">
        <f>TEXT(Budget23[[#This Row],[DATA]],"mmmm")&amp;" "&amp;TEXT(Budget23[[#This Row],[DATA]],"aaaa")</f>
        <v>ottobre 2023</v>
      </c>
      <c r="C213" s="14" t="s">
        <v>14</v>
      </c>
      <c r="D213" s="15"/>
      <c r="E213" s="15">
        <v>11.99</v>
      </c>
      <c r="F213" s="15">
        <f>F212+Budget23[[#This Row],[ENTRATE]]-Budget23[[#This Row],[USCITE]]</f>
        <v>852.64000000000249</v>
      </c>
    </row>
    <row r="214" spans="1:6" x14ac:dyDescent="0.25">
      <c r="A214" s="12">
        <v>45215</v>
      </c>
      <c r="B214" s="13" t="str">
        <f>TEXT(Budget23[[#This Row],[DATA]],"mmmm")&amp;" "&amp;TEXT(Budget23[[#This Row],[DATA]],"aaaa")</f>
        <v>ottobre 2023</v>
      </c>
      <c r="C214" s="14" t="s">
        <v>177</v>
      </c>
      <c r="D214" s="15"/>
      <c r="E214" s="15">
        <v>9.9499999999999993</v>
      </c>
      <c r="F214" s="15">
        <f>F213+Budget23[[#This Row],[ENTRATE]]-Budget23[[#This Row],[USCITE]]</f>
        <v>842.69000000000244</v>
      </c>
    </row>
    <row r="215" spans="1:6" x14ac:dyDescent="0.25">
      <c r="A215" s="12">
        <v>45215</v>
      </c>
      <c r="B215" s="13" t="str">
        <f>TEXT(Budget23[[#This Row],[DATA]],"mmmm")&amp;" "&amp;TEXT(Budget23[[#This Row],[DATA]],"aaaa")</f>
        <v>ottobre 2023</v>
      </c>
      <c r="C215" s="14" t="s">
        <v>7</v>
      </c>
      <c r="D215" s="15"/>
      <c r="E215" s="15">
        <v>27.3</v>
      </c>
      <c r="F215" s="15">
        <f>F214+Budget23[[#This Row],[ENTRATE]]-Budget23[[#This Row],[USCITE]]</f>
        <v>815.39000000000249</v>
      </c>
    </row>
    <row r="216" spans="1:6" x14ac:dyDescent="0.25">
      <c r="A216" s="12">
        <v>45215</v>
      </c>
      <c r="B216" s="13" t="str">
        <f>TEXT(Budget23[[#This Row],[DATA]],"mmmm")&amp;" "&amp;TEXT(Budget23[[#This Row],[DATA]],"aaaa")</f>
        <v>ottobre 2023</v>
      </c>
      <c r="C216" s="14" t="s">
        <v>7</v>
      </c>
      <c r="D216" s="15"/>
      <c r="E216" s="15">
        <v>24.6</v>
      </c>
      <c r="F216" s="15">
        <f>F215+Budget23[[#This Row],[ENTRATE]]-Budget23[[#This Row],[USCITE]]</f>
        <v>790.79000000000246</v>
      </c>
    </row>
    <row r="217" spans="1:6" x14ac:dyDescent="0.25">
      <c r="A217" s="12">
        <v>45215</v>
      </c>
      <c r="B217" s="13" t="str">
        <f>TEXT(Budget23[[#This Row],[DATA]],"mmmm")&amp;" "&amp;TEXT(Budget23[[#This Row],[DATA]],"aaaa")</f>
        <v>ottobre 2023</v>
      </c>
      <c r="C217" s="14" t="s">
        <v>7</v>
      </c>
      <c r="D217" s="15"/>
      <c r="E217" s="15">
        <v>25.1</v>
      </c>
      <c r="F217" s="15">
        <f>F216+Budget23[[#This Row],[ENTRATE]]-Budget23[[#This Row],[USCITE]]</f>
        <v>765.69000000000244</v>
      </c>
    </row>
    <row r="218" spans="1:6" x14ac:dyDescent="0.25">
      <c r="A218" s="12">
        <v>45215</v>
      </c>
      <c r="B218" s="13" t="str">
        <f>TEXT(Budget23[[#This Row],[DATA]],"mmmm")&amp;" "&amp;TEXT(Budget23[[#This Row],[DATA]],"aaaa")</f>
        <v>ottobre 2023</v>
      </c>
      <c r="C218" s="14" t="s">
        <v>6</v>
      </c>
      <c r="D218" s="15"/>
      <c r="E218" s="15">
        <v>2</v>
      </c>
      <c r="F218" s="15">
        <f>F217+Budget23[[#This Row],[ENTRATE]]-Budget23[[#This Row],[USCITE]]</f>
        <v>763.69000000000244</v>
      </c>
    </row>
    <row r="219" spans="1:6" x14ac:dyDescent="0.25">
      <c r="A219" s="12">
        <v>45218</v>
      </c>
      <c r="B219" s="13" t="str">
        <f>TEXT(Budget23[[#This Row],[DATA]],"mmmm")&amp;" "&amp;TEXT(Budget23[[#This Row],[DATA]],"aaaa")</f>
        <v>ottobre 2023</v>
      </c>
      <c r="C219" s="14" t="s">
        <v>7</v>
      </c>
      <c r="D219" s="15"/>
      <c r="E219" s="15">
        <v>30.04</v>
      </c>
      <c r="F219" s="15">
        <f>F218+Budget23[[#This Row],[ENTRATE]]-Budget23[[#This Row],[USCITE]]</f>
        <v>733.65000000000248</v>
      </c>
    </row>
    <row r="220" spans="1:6" x14ac:dyDescent="0.25">
      <c r="A220" s="12">
        <v>45226</v>
      </c>
      <c r="B220" s="13" t="str">
        <f>TEXT(Budget23[[#This Row],[DATA]],"mmmm")&amp;" "&amp;TEXT(Budget23[[#This Row],[DATA]],"aaaa")</f>
        <v>ottobre 2023</v>
      </c>
      <c r="C220" s="14" t="s">
        <v>178</v>
      </c>
      <c r="D220" s="15"/>
      <c r="E220" s="15">
        <v>109</v>
      </c>
      <c r="F220" s="15">
        <f>F219+Budget23[[#This Row],[ENTRATE]]-Budget23[[#This Row],[USCITE]]</f>
        <v>624.65000000000248</v>
      </c>
    </row>
    <row r="221" spans="1:6" x14ac:dyDescent="0.25">
      <c r="A221" s="12">
        <v>45226</v>
      </c>
      <c r="B221" s="13" t="str">
        <f>TEXT(Budget23[[#This Row],[DATA]],"mmmm")&amp;" "&amp;TEXT(Budget23[[#This Row],[DATA]],"aaaa")</f>
        <v>ottobre 2023</v>
      </c>
      <c r="C221" s="14" t="s">
        <v>9</v>
      </c>
      <c r="D221" s="15"/>
      <c r="E221" s="15">
        <v>150</v>
      </c>
      <c r="F221" s="15">
        <f>F220+Budget23[[#This Row],[ENTRATE]]-Budget23[[#This Row],[USCITE]]</f>
        <v>474.65000000000248</v>
      </c>
    </row>
    <row r="222" spans="1:6" x14ac:dyDescent="0.25">
      <c r="A222" s="12">
        <v>45230</v>
      </c>
      <c r="B222" s="13" t="str">
        <f>TEXT(Budget23[[#This Row],[DATA]],"mmmm")&amp;" "&amp;TEXT(Budget23[[#This Row],[DATA]],"aaaa")</f>
        <v>ottobre 2023</v>
      </c>
      <c r="C222" s="14" t="s">
        <v>18</v>
      </c>
      <c r="D222" s="15"/>
      <c r="E222" s="15">
        <v>307.01</v>
      </c>
      <c r="F222" s="15">
        <f>F221+Budget23[[#This Row],[ENTRATE]]-Budget23[[#This Row],[USCITE]]</f>
        <v>167.64000000000249</v>
      </c>
    </row>
    <row r="223" spans="1:6" x14ac:dyDescent="0.25">
      <c r="A223" s="12">
        <v>45239</v>
      </c>
      <c r="B223" s="13" t="str">
        <f>TEXT(Budget23[[#This Row],[DATA]],"mmmm")&amp;" "&amp;TEXT(Budget23[[#This Row],[DATA]],"aaaa")</f>
        <v>novembre 2023</v>
      </c>
      <c r="C223" s="13" t="s">
        <v>8</v>
      </c>
      <c r="D223" s="15"/>
      <c r="E223" s="15">
        <v>44.87</v>
      </c>
      <c r="F223" s="15">
        <f>F222+Budget23[[#This Row],[ENTRATE]]-Budget23[[#This Row],[USCITE]]</f>
        <v>122.77000000000248</v>
      </c>
    </row>
    <row r="224" spans="1:6" x14ac:dyDescent="0.25">
      <c r="A224" s="16">
        <v>45240</v>
      </c>
      <c r="B224" s="17" t="str">
        <f>TEXT(Budget23[[#This Row],[DATA]],"mmmm")&amp;" "&amp;TEXT(Budget23[[#This Row],[DATA]],"aaaa")</f>
        <v>novembre 2023</v>
      </c>
      <c r="C224" s="18" t="s">
        <v>10</v>
      </c>
      <c r="D224" s="19">
        <v>1791</v>
      </c>
      <c r="E224" s="19"/>
      <c r="F224" s="15">
        <f>F223+Budget23[[#This Row],[ENTRATE]]-Budget23[[#This Row],[USCITE]]</f>
        <v>1913.7700000000025</v>
      </c>
    </row>
    <row r="225" spans="1:26" x14ac:dyDescent="0.25">
      <c r="A225" s="12">
        <v>45243</v>
      </c>
      <c r="B225" s="13" t="str">
        <f>TEXT(Budget23[[#This Row],[DATA]],"mmmm")&amp;" "&amp;TEXT(Budget23[[#This Row],[DATA]],"aaaa")</f>
        <v>novembre 2023</v>
      </c>
      <c r="C225" s="14" t="s">
        <v>25</v>
      </c>
      <c r="D225" s="15"/>
      <c r="E225" s="15">
        <v>262.17</v>
      </c>
      <c r="F225" s="15">
        <f>F224+Budget23[[#This Row],[ENTRATE]]-Budget23[[#This Row],[USCITE]]</f>
        <v>1651.6000000000024</v>
      </c>
    </row>
    <row r="226" spans="1:26" x14ac:dyDescent="0.25">
      <c r="A226" s="12">
        <v>45243</v>
      </c>
      <c r="B226" s="13" t="str">
        <f>TEXT(Budget23[[#This Row],[DATA]],"mmmm")&amp;" "&amp;TEXT(Budget23[[#This Row],[DATA]],"aaaa")</f>
        <v>novembre 2023</v>
      </c>
      <c r="C226" s="14" t="s">
        <v>11</v>
      </c>
      <c r="D226" s="15"/>
      <c r="E226" s="15">
        <v>500.5</v>
      </c>
      <c r="F226" s="15">
        <f>F225+Budget23[[#This Row],[ENTRATE]]-Budget23[[#This Row],[USCITE]]</f>
        <v>1151.1000000000024</v>
      </c>
    </row>
    <row r="227" spans="1:26" x14ac:dyDescent="0.25">
      <c r="A227" s="12">
        <v>45246</v>
      </c>
      <c r="B227" s="13" t="str">
        <f>TEXT(Budget23[[#This Row],[DATA]],"mmmm")&amp;" "&amp;TEXT(Budget23[[#This Row],[DATA]],"aaaa")</f>
        <v>novembre 2023</v>
      </c>
      <c r="C227" s="14" t="s">
        <v>179</v>
      </c>
      <c r="D227" s="15"/>
      <c r="E227" s="15">
        <f>101.12+1.2</f>
        <v>102.32000000000001</v>
      </c>
      <c r="F227" s="15">
        <f>F226+Budget23[[#This Row],[ENTRATE]]-Budget23[[#This Row],[USCITE]]</f>
        <v>1048.7800000000025</v>
      </c>
    </row>
    <row r="228" spans="1:26" x14ac:dyDescent="0.25">
      <c r="A228" s="12">
        <v>45246</v>
      </c>
      <c r="B228" s="13" t="str">
        <f>TEXT(Budget23[[#This Row],[DATA]],"mmmm")&amp;" "&amp;TEXT(Budget23[[#This Row],[DATA]],"aaaa")</f>
        <v>novembre 2023</v>
      </c>
      <c r="C228" s="14" t="s">
        <v>13</v>
      </c>
      <c r="D228" s="15"/>
      <c r="E228" s="15">
        <v>3.99</v>
      </c>
      <c r="F228" s="15">
        <f>F227+Budget23[[#This Row],[ENTRATE]]-Budget23[[#This Row],[USCITE]]</f>
        <v>1044.7900000000025</v>
      </c>
    </row>
    <row r="229" spans="1:26" x14ac:dyDescent="0.25">
      <c r="A229" s="12">
        <v>45246</v>
      </c>
      <c r="B229" s="13" t="str">
        <f>TEXT(Budget23[[#This Row],[DATA]],"mmmm")&amp;" "&amp;TEXT(Budget23[[#This Row],[DATA]],"aaaa")</f>
        <v>novembre 2023</v>
      </c>
      <c r="C229" s="14" t="s">
        <v>7</v>
      </c>
      <c r="D229" s="15"/>
      <c r="E229" s="15">
        <v>26.85</v>
      </c>
      <c r="F229" s="15">
        <f>F228+Budget23[[#This Row],[ENTRATE]]-Budget23[[#This Row],[USCITE]]</f>
        <v>1017.9400000000024</v>
      </c>
    </row>
    <row r="230" spans="1:26" x14ac:dyDescent="0.25">
      <c r="A230" s="12">
        <v>45246</v>
      </c>
      <c r="B230" s="13" t="str">
        <f>TEXT(Budget23[[#This Row],[DATA]],"mmmm")&amp;" "&amp;TEXT(Budget23[[#This Row],[DATA]],"aaaa")</f>
        <v>novembre 2023</v>
      </c>
      <c r="C230" s="14" t="s">
        <v>155</v>
      </c>
      <c r="D230" s="15"/>
      <c r="E230" s="15">
        <v>20</v>
      </c>
      <c r="F230" s="15">
        <f>F229+Budget23[[#This Row],[ENTRATE]]-Budget23[[#This Row],[USCITE]]</f>
        <v>997.94000000000244</v>
      </c>
    </row>
    <row r="231" spans="1:26" x14ac:dyDescent="0.25">
      <c r="A231" s="12">
        <v>45246</v>
      </c>
      <c r="B231" s="13" t="str">
        <f>TEXT(Budget23[[#This Row],[DATA]],"mmmm")&amp;" "&amp;TEXT(Budget23[[#This Row],[DATA]],"aaaa")</f>
        <v>novembre 2023</v>
      </c>
      <c r="C231" s="14" t="s">
        <v>7</v>
      </c>
      <c r="D231" s="15"/>
      <c r="E231" s="15">
        <v>25.3</v>
      </c>
      <c r="F231" s="15">
        <f>F230+Budget23[[#This Row],[ENTRATE]]-Budget23[[#This Row],[USCITE]]</f>
        <v>972.64000000000249</v>
      </c>
    </row>
    <row r="232" spans="1:26" x14ac:dyDescent="0.25">
      <c r="A232" s="12">
        <v>45246</v>
      </c>
      <c r="B232" s="13" t="str">
        <f>TEXT(Budget23[[#This Row],[DATA]],"mmmm")&amp;" "&amp;TEXT(Budget23[[#This Row],[DATA]],"aaaa")</f>
        <v>novembre 2023</v>
      </c>
      <c r="C232" s="14" t="s">
        <v>9</v>
      </c>
      <c r="D232" s="15"/>
      <c r="E232" s="15">
        <v>209.6</v>
      </c>
      <c r="F232" s="15">
        <f>F231+Budget23[[#This Row],[ENTRATE]]-Budget23[[#This Row],[USCITE]]</f>
        <v>763.04000000000246</v>
      </c>
    </row>
    <row r="233" spans="1:26" x14ac:dyDescent="0.25">
      <c r="A233" s="12">
        <v>45246</v>
      </c>
      <c r="B233" s="13" t="str">
        <f>TEXT(Budget23[[#This Row],[DATA]],"mmmm")&amp;" "&amp;TEXT(Budget23[[#This Row],[DATA]],"aaaa")</f>
        <v>novembre 2023</v>
      </c>
      <c r="C233" s="14" t="s">
        <v>7</v>
      </c>
      <c r="D233" s="15"/>
      <c r="E233" s="15">
        <v>27.34</v>
      </c>
      <c r="F233" s="15">
        <f>F232+Budget23[[#This Row],[ENTRATE]]-Budget23[[#This Row],[USCITE]]</f>
        <v>735.70000000000243</v>
      </c>
    </row>
    <row r="234" spans="1:26" x14ac:dyDescent="0.25">
      <c r="A234" s="12">
        <v>45246</v>
      </c>
      <c r="B234" s="13" t="str">
        <f>TEXT(Budget23[[#This Row],[DATA]],"mmmm")&amp;" "&amp;TEXT(Budget23[[#This Row],[DATA]],"aaaa")</f>
        <v>novembre 2023</v>
      </c>
      <c r="C234" s="14" t="s">
        <v>14</v>
      </c>
      <c r="D234" s="15"/>
      <c r="E234" s="15">
        <v>46.93</v>
      </c>
      <c r="F234" s="15">
        <f>F233+Budget23[[#This Row],[ENTRATE]]-Budget23[[#This Row],[USCITE]]</f>
        <v>688.77000000000248</v>
      </c>
    </row>
    <row r="235" spans="1:26" x14ac:dyDescent="0.25">
      <c r="A235" s="12">
        <v>45246</v>
      </c>
      <c r="B235" s="13" t="str">
        <f>TEXT(Budget23[[#This Row],[DATA]],"mmmm")&amp;" "&amp;TEXT(Budget23[[#This Row],[DATA]],"aaaa")</f>
        <v>novembre 2023</v>
      </c>
      <c r="C235" s="14" t="s">
        <v>6</v>
      </c>
      <c r="D235" s="15"/>
      <c r="E235" s="15">
        <v>2</v>
      </c>
      <c r="F235" s="15">
        <f>F234+Budget23[[#This Row],[ENTRATE]]-Budget23[[#This Row],[USCITE]]</f>
        <v>686.77000000000248</v>
      </c>
    </row>
    <row r="236" spans="1:26" x14ac:dyDescent="0.25">
      <c r="A236" s="12">
        <v>45246</v>
      </c>
      <c r="B236" s="13" t="str">
        <f>TEXT(Budget23[[#This Row],[DATA]],"mmmm")&amp;" "&amp;TEXT(Budget23[[#This Row],[DATA]],"aaaa")</f>
        <v>novembre 2023</v>
      </c>
      <c r="C236" s="14" t="s">
        <v>9</v>
      </c>
      <c r="D236" s="15"/>
      <c r="E236" s="15">
        <v>50</v>
      </c>
      <c r="F236" s="15">
        <f>F235+Budget23[[#This Row],[ENTRATE]]-Budget23[[#This Row],[USCITE]]</f>
        <v>636.77000000000248</v>
      </c>
    </row>
    <row r="237" spans="1:26" x14ac:dyDescent="0.25">
      <c r="A237" s="12">
        <v>45259</v>
      </c>
      <c r="B237" s="13" t="str">
        <f>TEXT(Budget23[[#This Row],[DATA]],"mmmm")&amp;" "&amp;TEXT(Budget23[[#This Row],[DATA]],"aaaa")</f>
        <v>novembre 2023</v>
      </c>
      <c r="C237" s="13" t="s">
        <v>180</v>
      </c>
      <c r="D237" s="15"/>
      <c r="E237" s="15">
        <v>109</v>
      </c>
      <c r="F237" s="15">
        <f>F236+Budget23[[#This Row],[ENTRATE]]-Budget23[[#This Row],[USCITE]]</f>
        <v>527.77000000000248</v>
      </c>
    </row>
    <row r="238" spans="1:26" x14ac:dyDescent="0.25">
      <c r="A238" s="16">
        <v>45260</v>
      </c>
      <c r="B238" s="17" t="str">
        <f>TEXT(Budget23[[#This Row],[DATA]],"mmmm")&amp;" "&amp;TEXT(Budget23[[#This Row],[DATA]],"aaaa")</f>
        <v>novembre 2023</v>
      </c>
      <c r="C238" s="18" t="s">
        <v>18</v>
      </c>
      <c r="D238" s="19"/>
      <c r="E238" s="19">
        <v>307.01</v>
      </c>
      <c r="F238" s="15">
        <f>F237+Budget23[[#This Row],[ENTRATE]]-Budget23[[#This Row],[USCITE]]</f>
        <v>220.76000000000249</v>
      </c>
    </row>
    <row r="239" spans="1:26" x14ac:dyDescent="0.25">
      <c r="A239" s="16">
        <v>45265</v>
      </c>
      <c r="B239" s="17" t="str">
        <f>TEXT(Budget23[[#This Row],[DATA]],"mmmm")&amp;" "&amp;TEXT(Budget23[[#This Row],[DATA]],"aaaa")</f>
        <v>dicembre 2023</v>
      </c>
      <c r="C239" s="17" t="s">
        <v>7</v>
      </c>
      <c r="D239" s="19"/>
      <c r="E239" s="19">
        <v>65</v>
      </c>
      <c r="F239" s="15">
        <f>F238+Budget23[[#This Row],[ENTRATE]]-Budget23[[#This Row],[USCITE]]</f>
        <v>155.76000000000249</v>
      </c>
      <c r="H239" s="5" t="s">
        <v>72</v>
      </c>
      <c r="I239" t="s">
        <v>73</v>
      </c>
      <c r="J239" t="s">
        <v>74</v>
      </c>
      <c r="L239" s="5" t="s">
        <v>74</v>
      </c>
      <c r="M239" s="5" t="s">
        <v>181</v>
      </c>
    </row>
    <row r="240" spans="1:26" x14ac:dyDescent="0.25">
      <c r="A240" s="16">
        <v>45269</v>
      </c>
      <c r="B240" s="17" t="str">
        <f>TEXT(Budget23[[#This Row],[DATA]],"mmmm")&amp;" "&amp;TEXT(Budget23[[#This Row],[DATA]],"aaaa")</f>
        <v>dicembre 2023</v>
      </c>
      <c r="C240" s="17" t="s">
        <v>8</v>
      </c>
      <c r="D240" s="19"/>
      <c r="E240" s="19">
        <v>44.87</v>
      </c>
      <c r="F240" s="15">
        <f>F239+Budget23[[#This Row],[ENTRATE]]-Budget23[[#This Row],[USCITE]]</f>
        <v>110.89000000000249</v>
      </c>
      <c r="H240" s="6" t="s">
        <v>182</v>
      </c>
      <c r="I240" s="7">
        <v>3165.45</v>
      </c>
      <c r="J240" s="7">
        <v>2834.4900000000002</v>
      </c>
      <c r="L240" s="5" t="s">
        <v>72</v>
      </c>
      <c r="M240" t="s">
        <v>182</v>
      </c>
      <c r="N240" t="s">
        <v>183</v>
      </c>
      <c r="O240" t="s">
        <v>184</v>
      </c>
      <c r="P240" t="s">
        <v>185</v>
      </c>
      <c r="Q240" t="s">
        <v>186</v>
      </c>
      <c r="R240" t="s">
        <v>187</v>
      </c>
      <c r="S240" t="s">
        <v>188</v>
      </c>
      <c r="T240" t="s">
        <v>189</v>
      </c>
      <c r="U240" t="s">
        <v>190</v>
      </c>
      <c r="V240" t="s">
        <v>191</v>
      </c>
      <c r="W240" t="s">
        <v>192</v>
      </c>
      <c r="X240" t="s">
        <v>193</v>
      </c>
      <c r="Y240" t="s">
        <v>126</v>
      </c>
      <c r="Z240" t="s">
        <v>89</v>
      </c>
    </row>
    <row r="241" spans="1:26" x14ac:dyDescent="0.25">
      <c r="A241" s="12">
        <v>45272</v>
      </c>
      <c r="B241" s="13" t="str">
        <f>TEXT(Budget23[[#This Row],[DATA]],"mmmm")&amp;" "&amp;TEXT(Budget23[[#This Row],[DATA]],"aaaa")</f>
        <v>dicembre 2023</v>
      </c>
      <c r="C241" s="14" t="s">
        <v>10</v>
      </c>
      <c r="D241" s="15">
        <v>1925</v>
      </c>
      <c r="E241" s="15"/>
      <c r="F241" s="15">
        <f>F240+Budget23[[#This Row],[ENTRATE]]-Budget23[[#This Row],[USCITE]]</f>
        <v>2035.8900000000026</v>
      </c>
      <c r="H241" s="6" t="s">
        <v>183</v>
      </c>
      <c r="I241" s="7">
        <v>1120</v>
      </c>
      <c r="J241" s="7">
        <v>1342.97</v>
      </c>
      <c r="L241" s="6" t="s">
        <v>141</v>
      </c>
      <c r="M241" s="7">
        <v>87.94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>
        <v>87.94</v>
      </c>
    </row>
    <row r="242" spans="1:26" x14ac:dyDescent="0.25">
      <c r="A242" s="12">
        <v>45272</v>
      </c>
      <c r="B242" s="13" t="str">
        <f>TEXT(Budget23[[#This Row],[DATA]],"mmmm")&amp;" "&amp;TEXT(Budget23[[#This Row],[DATA]],"aaaa")</f>
        <v>dicembre 2023</v>
      </c>
      <c r="C242" s="14" t="s">
        <v>11</v>
      </c>
      <c r="D242" s="15"/>
      <c r="E242" s="15">
        <v>1010</v>
      </c>
      <c r="F242" s="15">
        <f>F241+Budget23[[#This Row],[ENTRATE]]-Budget23[[#This Row],[USCITE]]</f>
        <v>1025.8900000000026</v>
      </c>
      <c r="H242" s="6" t="s">
        <v>184</v>
      </c>
      <c r="I242" s="7">
        <v>2510</v>
      </c>
      <c r="J242" s="7">
        <v>1715.0599999999997</v>
      </c>
      <c r="L242" s="6" t="s">
        <v>146</v>
      </c>
      <c r="M242" s="7"/>
      <c r="N242" s="7">
        <v>87.93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>
        <v>87.93</v>
      </c>
    </row>
    <row r="243" spans="1:26" x14ac:dyDescent="0.25">
      <c r="A243" s="12">
        <v>45276</v>
      </c>
      <c r="B243" s="13" t="str">
        <f>TEXT(Budget23[[#This Row],[DATA]],"mmmm")&amp;" "&amp;TEXT(Budget23[[#This Row],[DATA]],"aaaa")</f>
        <v>dicembre 2023</v>
      </c>
      <c r="C243" s="14" t="s">
        <v>13</v>
      </c>
      <c r="D243" s="15"/>
      <c r="E243" s="15">
        <v>3.99</v>
      </c>
      <c r="F243" s="15">
        <f>F242+Budget23[[#This Row],[ENTRATE]]-Budget23[[#This Row],[USCITE]]</f>
        <v>1021.9000000000026</v>
      </c>
      <c r="H243" s="6" t="s">
        <v>185</v>
      </c>
      <c r="I243" s="7">
        <v>6803</v>
      </c>
      <c r="J243" s="7">
        <v>4029.17</v>
      </c>
      <c r="L243" s="6" t="s">
        <v>14</v>
      </c>
      <c r="M243" s="7">
        <v>74.180000000000007</v>
      </c>
      <c r="N243" s="7">
        <v>62.730000000000004</v>
      </c>
      <c r="O243" s="7">
        <v>82.38</v>
      </c>
      <c r="P243" s="7">
        <v>35.489999999999995</v>
      </c>
      <c r="Q243" s="7">
        <v>148.10000000000002</v>
      </c>
      <c r="R243" s="7">
        <v>24.4</v>
      </c>
      <c r="S243" s="7">
        <v>95.710000000000008</v>
      </c>
      <c r="T243" s="7">
        <v>189.05</v>
      </c>
      <c r="U243" s="7">
        <v>162.72999999999999</v>
      </c>
      <c r="V243" s="7">
        <v>11.99</v>
      </c>
      <c r="W243" s="7">
        <v>46.93</v>
      </c>
      <c r="X243" s="7"/>
      <c r="Y243" s="7"/>
      <c r="Z243" s="7">
        <v>933.68999999999994</v>
      </c>
    </row>
    <row r="244" spans="1:26" x14ac:dyDescent="0.25">
      <c r="A244" s="12">
        <v>45276</v>
      </c>
      <c r="B244" s="13" t="str">
        <f>TEXT(Budget23[[#This Row],[DATA]],"mmmm")&amp;" "&amp;TEXT(Budget23[[#This Row],[DATA]],"aaaa")</f>
        <v>dicembre 2023</v>
      </c>
      <c r="C244" s="14" t="s">
        <v>194</v>
      </c>
      <c r="D244" s="15"/>
      <c r="E244" s="15">
        <f>101.12+1.2</f>
        <v>102.32000000000001</v>
      </c>
      <c r="F244" s="15">
        <f>F243+Budget23[[#This Row],[ENTRATE]]-Budget23[[#This Row],[USCITE]]</f>
        <v>919.58000000000254</v>
      </c>
      <c r="H244" s="6" t="s">
        <v>186</v>
      </c>
      <c r="I244" s="7">
        <v>1918.98</v>
      </c>
      <c r="J244" s="7">
        <v>4171.3599999999997</v>
      </c>
      <c r="L244" s="6" t="s">
        <v>99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>
        <v>49.9</v>
      </c>
      <c r="Z244" s="7">
        <v>49.9</v>
      </c>
    </row>
    <row r="245" spans="1:26" x14ac:dyDescent="0.25">
      <c r="A245" s="12">
        <v>45276</v>
      </c>
      <c r="B245" s="13" t="str">
        <f>TEXT(Budget23[[#This Row],[DATA]],"mmmm")&amp;" "&amp;TEXT(Budget23[[#This Row],[DATA]],"aaaa")</f>
        <v>dicembre 2023</v>
      </c>
      <c r="C245" s="14" t="s">
        <v>7</v>
      </c>
      <c r="D245" s="15"/>
      <c r="E245" s="15">
        <v>27.2</v>
      </c>
      <c r="F245" s="15">
        <f>F244+Budget23[[#This Row],[ENTRATE]]-Budget23[[#This Row],[USCITE]]</f>
        <v>892.3800000000025</v>
      </c>
      <c r="H245" s="6" t="s">
        <v>187</v>
      </c>
      <c r="I245" s="7">
        <v>1728</v>
      </c>
      <c r="J245" s="7">
        <v>1899.6000000000001</v>
      </c>
      <c r="L245" s="6" t="s">
        <v>145</v>
      </c>
      <c r="M245" s="7"/>
      <c r="N245" s="7">
        <v>2</v>
      </c>
      <c r="O245" s="7"/>
      <c r="P245" s="7"/>
      <c r="Q245" s="7">
        <v>261.99</v>
      </c>
      <c r="R245" s="7"/>
      <c r="S245" s="7"/>
      <c r="T245" s="7"/>
      <c r="U245" s="7"/>
      <c r="V245" s="7"/>
      <c r="W245" s="7"/>
      <c r="X245" s="7"/>
      <c r="Y245" s="7"/>
      <c r="Z245" s="7">
        <v>263.99</v>
      </c>
    </row>
    <row r="246" spans="1:26" x14ac:dyDescent="0.25">
      <c r="A246" s="12">
        <v>45276</v>
      </c>
      <c r="B246" s="13" t="str">
        <f>TEXT(Budget23[[#This Row],[DATA]],"mmmm")&amp;" "&amp;TEXT(Budget23[[#This Row],[DATA]],"aaaa")</f>
        <v>dicembre 2023</v>
      </c>
      <c r="C246" s="14" t="s">
        <v>7</v>
      </c>
      <c r="D246" s="15"/>
      <c r="E246" s="15">
        <v>14.99</v>
      </c>
      <c r="F246" s="15">
        <f>F245+Budget23[[#This Row],[ENTRATE]]-Budget23[[#This Row],[USCITE]]</f>
        <v>877.39000000000249</v>
      </c>
      <c r="H246" s="6" t="s">
        <v>188</v>
      </c>
      <c r="I246" s="7">
        <v>2795</v>
      </c>
      <c r="J246" s="7">
        <v>2572.8300000000008</v>
      </c>
      <c r="L246" s="6" t="s">
        <v>7</v>
      </c>
      <c r="M246" s="7">
        <v>202.60999999999999</v>
      </c>
      <c r="N246" s="7">
        <v>65.990000000000009</v>
      </c>
      <c r="O246" s="7">
        <v>52.9</v>
      </c>
      <c r="P246" s="7">
        <v>275.77999999999997</v>
      </c>
      <c r="Q246" s="7">
        <v>124.21</v>
      </c>
      <c r="R246" s="7">
        <v>80.599999999999994</v>
      </c>
      <c r="S246" s="7">
        <v>318.44</v>
      </c>
      <c r="T246" s="7">
        <v>250.77</v>
      </c>
      <c r="U246" s="7">
        <v>80.05</v>
      </c>
      <c r="V246" s="7">
        <v>134.44</v>
      </c>
      <c r="W246" s="7">
        <v>79.490000000000009</v>
      </c>
      <c r="X246" s="7">
        <v>176.89</v>
      </c>
      <c r="Y246" s="7">
        <v>109.93</v>
      </c>
      <c r="Z246" s="7">
        <v>1952.1000000000001</v>
      </c>
    </row>
    <row r="247" spans="1:26" x14ac:dyDescent="0.25">
      <c r="A247" s="12">
        <v>45276</v>
      </c>
      <c r="B247" s="13" t="str">
        <f>TEXT(Budget23[[#This Row],[DATA]],"mmmm")&amp;" "&amp;TEXT(Budget23[[#This Row],[DATA]],"aaaa")</f>
        <v>dicembre 2023</v>
      </c>
      <c r="C247" s="14" t="s">
        <v>7</v>
      </c>
      <c r="D247" s="15"/>
      <c r="E247" s="15">
        <v>23</v>
      </c>
      <c r="F247" s="15">
        <f>F246+Budget23[[#This Row],[ENTRATE]]-Budget23[[#This Row],[USCITE]]</f>
        <v>854.39000000000249</v>
      </c>
      <c r="H247" s="6" t="s">
        <v>189</v>
      </c>
      <c r="I247" s="7">
        <v>1795</v>
      </c>
      <c r="J247" s="7">
        <v>1941.5599999999997</v>
      </c>
      <c r="L247" s="6" t="s">
        <v>39</v>
      </c>
      <c r="M247" s="7"/>
      <c r="N247" s="7">
        <v>26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>
        <v>26</v>
      </c>
    </row>
    <row r="248" spans="1:26" x14ac:dyDescent="0.25">
      <c r="A248" s="12">
        <v>45276</v>
      </c>
      <c r="B248" s="13" t="str">
        <f>TEXT(Budget23[[#This Row],[DATA]],"mmmm")&amp;" "&amp;TEXT(Budget23[[#This Row],[DATA]],"aaaa")</f>
        <v>dicembre 2023</v>
      </c>
      <c r="C248" s="14" t="s">
        <v>66</v>
      </c>
      <c r="D248" s="15"/>
      <c r="E248" s="15">
        <v>77</v>
      </c>
      <c r="F248" s="15">
        <f>F247+Budget23[[#This Row],[ENTRATE]]-Budget23[[#This Row],[USCITE]]</f>
        <v>777.39000000000249</v>
      </c>
      <c r="H248" s="6" t="s">
        <v>190</v>
      </c>
      <c r="I248" s="7">
        <v>1794</v>
      </c>
      <c r="J248" s="7">
        <v>2872.21</v>
      </c>
      <c r="L248" s="6" t="s">
        <v>6</v>
      </c>
      <c r="M248" s="7">
        <v>23.98</v>
      </c>
      <c r="N248" s="7"/>
      <c r="O248" s="7">
        <v>2</v>
      </c>
      <c r="P248" s="7">
        <v>20.7</v>
      </c>
      <c r="Q248" s="7">
        <v>2</v>
      </c>
      <c r="R248" s="7">
        <v>2</v>
      </c>
      <c r="S248" s="7">
        <v>2</v>
      </c>
      <c r="T248" s="7">
        <v>2</v>
      </c>
      <c r="U248" s="7">
        <v>8</v>
      </c>
      <c r="V248" s="7">
        <v>20.7</v>
      </c>
      <c r="W248" s="7">
        <v>2</v>
      </c>
      <c r="X248" s="7">
        <v>2</v>
      </c>
      <c r="Y248" s="7"/>
      <c r="Z248" s="7">
        <v>87.38</v>
      </c>
    </row>
    <row r="249" spans="1:26" x14ac:dyDescent="0.25">
      <c r="A249" s="12">
        <v>45276</v>
      </c>
      <c r="B249" s="13" t="str">
        <f>TEXT(Budget23[[#This Row],[DATA]],"mmmm")&amp;" "&amp;TEXT(Budget23[[#This Row],[DATA]],"aaaa")</f>
        <v>dicembre 2023</v>
      </c>
      <c r="C249" s="14" t="s">
        <v>23</v>
      </c>
      <c r="D249" s="15"/>
      <c r="E249" s="15">
        <v>12</v>
      </c>
      <c r="F249" s="15">
        <f>F248+Budget23[[#This Row],[ENTRATE]]-Budget23[[#This Row],[USCITE]]</f>
        <v>765.39000000000249</v>
      </c>
      <c r="H249" s="6" t="s">
        <v>191</v>
      </c>
      <c r="I249" s="7">
        <v>1787</v>
      </c>
      <c r="J249" s="7">
        <v>1869.54</v>
      </c>
      <c r="L249" s="6" t="s">
        <v>11</v>
      </c>
      <c r="M249" s="7">
        <v>1501.5</v>
      </c>
      <c r="N249" s="7">
        <v>500.5</v>
      </c>
      <c r="O249" s="7">
        <v>1010</v>
      </c>
      <c r="P249" s="7">
        <v>1501</v>
      </c>
      <c r="Q249" s="7">
        <v>2001</v>
      </c>
      <c r="R249" s="7">
        <v>1000.5</v>
      </c>
      <c r="S249" s="7">
        <v>1074.5</v>
      </c>
      <c r="T249" s="7">
        <v>1000.5</v>
      </c>
      <c r="U249" s="7">
        <v>1000.5</v>
      </c>
      <c r="V249" s="7"/>
      <c r="W249" s="7">
        <v>500.5</v>
      </c>
      <c r="X249" s="7">
        <v>2020.5</v>
      </c>
      <c r="Y249" s="7">
        <v>1000.5</v>
      </c>
      <c r="Z249" s="7">
        <v>14111.5</v>
      </c>
    </row>
    <row r="250" spans="1:26" x14ac:dyDescent="0.25">
      <c r="A250" s="12">
        <v>45276</v>
      </c>
      <c r="B250" s="13" t="str">
        <f>TEXT(Budget23[[#This Row],[DATA]],"mmmm")&amp;" "&amp;TEXT(Budget23[[#This Row],[DATA]],"aaaa")</f>
        <v>dicembre 2023</v>
      </c>
      <c r="C250" s="14" t="s">
        <v>7</v>
      </c>
      <c r="D250" s="15"/>
      <c r="E250" s="15">
        <v>26.7</v>
      </c>
      <c r="F250" s="15">
        <f>F249+Budget23[[#This Row],[ENTRATE]]-Budget23[[#This Row],[USCITE]]</f>
        <v>738.69000000000244</v>
      </c>
      <c r="H250" s="6" t="s">
        <v>192</v>
      </c>
      <c r="I250" s="7">
        <v>1791</v>
      </c>
      <c r="J250" s="7">
        <v>1737.8799999999999</v>
      </c>
      <c r="L250" s="6" t="s">
        <v>143</v>
      </c>
      <c r="M250" s="7">
        <v>197.95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>
        <v>197.95</v>
      </c>
    </row>
    <row r="251" spans="1:26" x14ac:dyDescent="0.25">
      <c r="A251" s="12">
        <v>45276</v>
      </c>
      <c r="B251" s="13" t="str">
        <f>TEXT(Budget23[[#This Row],[DATA]],"mmmm")&amp;" "&amp;TEXT(Budget23[[#This Row],[DATA]],"aaaa")</f>
        <v>dicembre 2023</v>
      </c>
      <c r="C251" s="14" t="s">
        <v>28</v>
      </c>
      <c r="D251" s="15"/>
      <c r="E251" s="15">
        <v>33.15</v>
      </c>
      <c r="F251" s="15">
        <f>F250+Budget23[[#This Row],[ENTRATE]]-Budget23[[#This Row],[USCITE]]</f>
        <v>705.54000000000246</v>
      </c>
      <c r="H251" s="6" t="s">
        <v>193</v>
      </c>
      <c r="I251" s="7">
        <v>3606</v>
      </c>
      <c r="J251" s="7">
        <v>3158.6500000000005</v>
      </c>
      <c r="L251" s="6" t="s">
        <v>144</v>
      </c>
      <c r="M251" s="7">
        <v>56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>
        <v>56</v>
      </c>
    </row>
    <row r="252" spans="1:26" x14ac:dyDescent="0.25">
      <c r="A252" s="12">
        <v>45276</v>
      </c>
      <c r="B252" s="13" t="str">
        <f>TEXT(Budget23[[#This Row],[DATA]],"mmmm")&amp;" "&amp;TEXT(Budget23[[#This Row],[DATA]],"aaaa")</f>
        <v>dicembre 2023</v>
      </c>
      <c r="C252" s="14" t="s">
        <v>23</v>
      </c>
      <c r="D252" s="15"/>
      <c r="E252" s="15">
        <v>16.7</v>
      </c>
      <c r="F252" s="15">
        <f>F251+Budget23[[#This Row],[ENTRATE]]-Budget23[[#This Row],[USCITE]]</f>
        <v>688.84000000000242</v>
      </c>
      <c r="H252" s="6" t="s">
        <v>126</v>
      </c>
      <c r="I252" s="7">
        <v>1750</v>
      </c>
      <c r="J252" s="7">
        <v>2500.1999999999998</v>
      </c>
      <c r="L252" s="6" t="s">
        <v>147</v>
      </c>
      <c r="M252" s="7"/>
      <c r="N252" s="7">
        <v>71.989999999999995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>
        <v>71.989999999999995</v>
      </c>
    </row>
    <row r="253" spans="1:26" x14ac:dyDescent="0.25">
      <c r="A253" s="12">
        <v>45276</v>
      </c>
      <c r="B253" s="13" t="str">
        <f>TEXT(Budget23[[#This Row],[DATA]],"mmmm")&amp;" "&amp;TEXT(Budget23[[#This Row],[DATA]],"aaaa")</f>
        <v>dicembre 2023</v>
      </c>
      <c r="C253" s="14" t="s">
        <v>7</v>
      </c>
      <c r="D253" s="15"/>
      <c r="E253" s="15">
        <v>20</v>
      </c>
      <c r="F253" s="15">
        <f>F252+Budget23[[#This Row],[ENTRATE]]-Budget23[[#This Row],[USCITE]]</f>
        <v>668.84000000000242</v>
      </c>
      <c r="H253" s="6" t="s">
        <v>89</v>
      </c>
      <c r="I253" s="7">
        <v>32563.43</v>
      </c>
      <c r="J253" s="7">
        <v>32645.520000000004</v>
      </c>
      <c r="L253" s="6" t="s">
        <v>26</v>
      </c>
      <c r="M253" s="7">
        <v>50.1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>
        <v>50.1</v>
      </c>
    </row>
    <row r="254" spans="1:26" x14ac:dyDescent="0.25">
      <c r="A254" s="12">
        <v>45276</v>
      </c>
      <c r="B254" s="13" t="str">
        <f>TEXT(Budget23[[#This Row],[DATA]],"mmmm")&amp;" "&amp;TEXT(Budget23[[#This Row],[DATA]],"aaaa")</f>
        <v>dicembre 2023</v>
      </c>
      <c r="C254" s="14" t="s">
        <v>23</v>
      </c>
      <c r="D254" s="15"/>
      <c r="E254" s="15">
        <v>7.2</v>
      </c>
      <c r="F254" s="15">
        <f>F253+Budget23[[#This Row],[ENTRATE]]-Budget23[[#This Row],[USCITE]]</f>
        <v>661.64000000000237</v>
      </c>
      <c r="L254" s="6" t="s">
        <v>142</v>
      </c>
      <c r="M254" s="7">
        <v>15.5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>
        <v>15.5</v>
      </c>
    </row>
    <row r="255" spans="1:26" x14ac:dyDescent="0.25">
      <c r="A255" s="12">
        <v>45276</v>
      </c>
      <c r="B255" s="13" t="str">
        <f>TEXT(Budget23[[#This Row],[DATA]],"mmmm")&amp;" "&amp;TEXT(Budget23[[#This Row],[DATA]],"aaaa")</f>
        <v>dicembre 2023</v>
      </c>
      <c r="C255" s="14" t="s">
        <v>9</v>
      </c>
      <c r="D255" s="15"/>
      <c r="E255" s="15">
        <f>250+12</f>
        <v>262</v>
      </c>
      <c r="F255" s="15">
        <f>F254+Budget23[[#This Row],[ENTRATE]]-Budget23[[#This Row],[USCITE]]</f>
        <v>399.64000000000237</v>
      </c>
      <c r="L255" s="6" t="s">
        <v>21</v>
      </c>
      <c r="M255" s="7"/>
      <c r="N255" s="7">
        <v>114.1</v>
      </c>
      <c r="O255" s="7"/>
      <c r="P255" s="7"/>
      <c r="Q255" s="7"/>
      <c r="R255" s="7"/>
      <c r="S255" s="7"/>
      <c r="T255" s="7"/>
      <c r="U255" s="7">
        <v>47.2</v>
      </c>
      <c r="V255" s="7"/>
      <c r="W255" s="7"/>
      <c r="X255" s="7"/>
      <c r="Y255" s="7"/>
      <c r="Z255" s="7">
        <v>161.30000000000001</v>
      </c>
    </row>
    <row r="256" spans="1:26" x14ac:dyDescent="0.25">
      <c r="A256" s="12">
        <v>45276</v>
      </c>
      <c r="B256" s="13" t="str">
        <f>TEXT(Budget23[[#This Row],[DATA]],"mmmm")&amp;" "&amp;TEXT(Budget23[[#This Row],[DATA]],"aaaa")</f>
        <v>dicembre 2023</v>
      </c>
      <c r="C256" s="14" t="s">
        <v>6</v>
      </c>
      <c r="D256" s="15"/>
      <c r="E256" s="15">
        <v>2</v>
      </c>
      <c r="F256" s="15">
        <f>F255+Budget23[[#This Row],[ENTRATE]]-Budget23[[#This Row],[USCITE]]</f>
        <v>397.64000000000237</v>
      </c>
      <c r="L256" s="6" t="s">
        <v>71</v>
      </c>
      <c r="M256" s="7"/>
      <c r="N256" s="7">
        <v>6.2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>
        <v>6.2</v>
      </c>
    </row>
    <row r="257" spans="1:26" x14ac:dyDescent="0.25">
      <c r="A257" s="12">
        <v>45276</v>
      </c>
      <c r="B257" s="13" t="str">
        <f>TEXT(Budget23[[#This Row],[DATA]],"mmmm")&amp;" "&amp;TEXT(Budget23[[#This Row],[DATA]],"aaaa")</f>
        <v>dicembre 2023</v>
      </c>
      <c r="C257" s="14" t="s">
        <v>16</v>
      </c>
      <c r="D257" s="15"/>
      <c r="E257" s="15">
        <v>43.02</v>
      </c>
      <c r="F257" s="15">
        <f>F256+Budget23[[#This Row],[ENTRATE]]-Budget23[[#This Row],[USCITE]]</f>
        <v>354.62000000000239</v>
      </c>
      <c r="L257" s="6" t="s">
        <v>57</v>
      </c>
      <c r="M257" s="7">
        <v>8.4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>
        <v>8.4</v>
      </c>
    </row>
    <row r="258" spans="1:26" x14ac:dyDescent="0.25">
      <c r="A258" s="12">
        <v>45276</v>
      </c>
      <c r="B258" s="13" t="str">
        <f>TEXT(Budget23[[#This Row],[DATA]],"mmmm")&amp;" "&amp;TEXT(Budget23[[#This Row],[DATA]],"aaaa")</f>
        <v>dicembre 2023</v>
      </c>
      <c r="C258" s="14" t="s">
        <v>9</v>
      </c>
      <c r="D258" s="15"/>
      <c r="E258" s="15">
        <v>50</v>
      </c>
      <c r="F258" s="15">
        <f>F257+Budget23[[#This Row],[ENTRATE]]-Budget23[[#This Row],[USCITE]]</f>
        <v>304.62000000000239</v>
      </c>
      <c r="L258" s="6" t="s">
        <v>66</v>
      </c>
      <c r="M258" s="7">
        <v>87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>
        <v>77</v>
      </c>
      <c r="Y258" s="7"/>
      <c r="Z258" s="7">
        <v>164</v>
      </c>
    </row>
    <row r="259" spans="1:26" x14ac:dyDescent="0.25">
      <c r="A259" s="12">
        <v>45281</v>
      </c>
      <c r="B259" s="13" t="str">
        <f>TEXT(Budget23[[#This Row],[DATA]],"mmmm")&amp;" "&amp;TEXT(Budget23[[#This Row],[DATA]],"aaaa")</f>
        <v>dicembre 2023</v>
      </c>
      <c r="C259" s="14" t="s">
        <v>69</v>
      </c>
      <c r="D259" s="15">
        <v>1681</v>
      </c>
      <c r="E259" s="15"/>
      <c r="F259" s="15">
        <f>F258+Budget23[[#This Row],[ENTRATE]]-Budget23[[#This Row],[USCITE]]</f>
        <v>1985.6200000000024</v>
      </c>
      <c r="L259" s="6" t="s">
        <v>9</v>
      </c>
      <c r="M259" s="7">
        <v>102</v>
      </c>
      <c r="N259" s="7">
        <v>50</v>
      </c>
      <c r="O259" s="7">
        <v>100</v>
      </c>
      <c r="P259" s="7">
        <v>360</v>
      </c>
      <c r="Q259" s="7">
        <v>510</v>
      </c>
      <c r="R259" s="7">
        <v>150</v>
      </c>
      <c r="S259" s="7">
        <v>200</v>
      </c>
      <c r="T259" s="7">
        <v>100</v>
      </c>
      <c r="U259" s="7">
        <v>100</v>
      </c>
      <c r="V259" s="7">
        <v>250</v>
      </c>
      <c r="W259" s="7">
        <v>259.60000000000002</v>
      </c>
      <c r="X259" s="7">
        <v>312</v>
      </c>
      <c r="Y259" s="7">
        <v>212</v>
      </c>
      <c r="Z259" s="7">
        <v>2705.6</v>
      </c>
    </row>
    <row r="260" spans="1:26" x14ac:dyDescent="0.25">
      <c r="A260" s="12">
        <v>45282</v>
      </c>
      <c r="B260" s="13" t="str">
        <f>TEXT(Budget23[[#This Row],[DATA]],"mmmm")&amp;" "&amp;TEXT(Budget23[[#This Row],[DATA]],"aaaa")</f>
        <v>dicembre 2023</v>
      </c>
      <c r="C260" s="14" t="s">
        <v>11</v>
      </c>
      <c r="D260" s="15"/>
      <c r="E260" s="15">
        <v>510</v>
      </c>
      <c r="F260" s="15">
        <f>F259+Budget23[[#This Row],[ENTRATE]]-Budget23[[#This Row],[USCITE]]</f>
        <v>1475.6200000000024</v>
      </c>
      <c r="L260" s="6" t="s">
        <v>18</v>
      </c>
      <c r="M260" s="7">
        <v>307.01</v>
      </c>
      <c r="N260" s="7">
        <v>307.01</v>
      </c>
      <c r="O260" s="7">
        <v>307.01</v>
      </c>
      <c r="P260" s="7">
        <v>307.01</v>
      </c>
      <c r="Q260" s="7">
        <v>307.01</v>
      </c>
      <c r="R260" s="7">
        <v>307.01</v>
      </c>
      <c r="S260" s="7">
        <v>307.01</v>
      </c>
      <c r="T260" s="7">
        <v>307.01</v>
      </c>
      <c r="U260" s="7">
        <v>307.01</v>
      </c>
      <c r="V260" s="7">
        <v>307.01</v>
      </c>
      <c r="W260" s="7">
        <v>307.01</v>
      </c>
      <c r="X260" s="7">
        <v>307.01</v>
      </c>
      <c r="Y260" s="7">
        <v>307.01</v>
      </c>
      <c r="Z260" s="7">
        <v>3991.130000000001</v>
      </c>
    </row>
    <row r="261" spans="1:26" x14ac:dyDescent="0.25">
      <c r="A261" s="12">
        <v>45288</v>
      </c>
      <c r="B261" s="13" t="str">
        <f>TEXT(Budget23[[#This Row],[DATA]],"mmmm")&amp;" "&amp;TEXT(Budget23[[#This Row],[DATA]],"aaaa")</f>
        <v>dicembre 2023</v>
      </c>
      <c r="C261" s="14" t="s">
        <v>11</v>
      </c>
      <c r="D261" s="15"/>
      <c r="E261" s="15">
        <v>500.5</v>
      </c>
      <c r="F261" s="15">
        <f>F260+Budget23[[#This Row],[ENTRATE]]-Budget23[[#This Row],[USCITE]]</f>
        <v>975.12000000000239</v>
      </c>
      <c r="L261" s="6" t="s">
        <v>5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12">
        <v>45291</v>
      </c>
      <c r="B262" s="13" t="str">
        <f>TEXT(Budget23[[#This Row],[DATA]],"mmmm")&amp;" "&amp;TEXT(Budget23[[#This Row],[DATA]],"aaaa")</f>
        <v>dicembre 2023</v>
      </c>
      <c r="C262" s="14" t="s">
        <v>18</v>
      </c>
      <c r="D262" s="15"/>
      <c r="E262" s="15">
        <v>307.01</v>
      </c>
      <c r="F262" s="15">
        <f>F261+Budget23[[#This Row],[ENTRATE]]-Budget23[[#This Row],[USCITE]]</f>
        <v>668.1100000000024</v>
      </c>
      <c r="L262" s="6" t="s">
        <v>140</v>
      </c>
      <c r="M262" s="7">
        <v>71.8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>
        <v>71.8</v>
      </c>
    </row>
    <row r="263" spans="1:26" x14ac:dyDescent="0.25">
      <c r="A263" s="12">
        <v>45299</v>
      </c>
      <c r="B263" s="13" t="str">
        <f>TEXT(Budget23[[#This Row],[DATA]],"mmmm")&amp;" "&amp;TEXT(Budget23[[#This Row],[DATA]],"aaaa")</f>
        <v>gennaio 2024</v>
      </c>
      <c r="C263" s="17" t="s">
        <v>8</v>
      </c>
      <c r="D263" s="19"/>
      <c r="E263" s="19">
        <v>44.87</v>
      </c>
      <c r="F263" s="15">
        <f>F262+Budget23[[#This Row],[ENTRATE]]-Budget23[[#This Row],[USCITE]]</f>
        <v>623.2400000000024</v>
      </c>
      <c r="L263" s="6" t="s">
        <v>10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12">
        <v>45301</v>
      </c>
      <c r="B264" s="13" t="str">
        <f>TEXT(Budget23[[#This Row],[DATA]],"mmmm")&amp;" "&amp;TEXT(Budget23[[#This Row],[DATA]],"aaaa")</f>
        <v>gennaio 2024</v>
      </c>
      <c r="C264" s="14" t="s">
        <v>10</v>
      </c>
      <c r="D264" s="15">
        <v>1750</v>
      </c>
      <c r="E264" s="15"/>
      <c r="F264" s="15">
        <f>F263+Budget23[[#This Row],[ENTRATE]]-Budget23[[#This Row],[USCITE]]</f>
        <v>2373.2400000000025</v>
      </c>
      <c r="L264" s="6" t="s">
        <v>69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12">
        <v>45301</v>
      </c>
      <c r="B265" s="13" t="str">
        <f>TEXT(Budget23[[#This Row],[DATA]],"mmmm")&amp;" "&amp;TEXT(Budget23[[#This Row],[DATA]],"aaaa")</f>
        <v>gennaio 2024</v>
      </c>
      <c r="C265" s="14" t="s">
        <v>11</v>
      </c>
      <c r="D265" s="15"/>
      <c r="E265" s="15">
        <v>1000.5</v>
      </c>
      <c r="F265" s="15">
        <f>F264+Budget23[[#This Row],[ENTRATE]]-Budget23[[#This Row],[USCITE]]</f>
        <v>1372.7400000000025</v>
      </c>
      <c r="L265" s="6" t="s">
        <v>8</v>
      </c>
      <c r="M265" s="7">
        <v>44.87</v>
      </c>
      <c r="N265" s="7">
        <v>44.87</v>
      </c>
      <c r="O265" s="7">
        <v>44.87</v>
      </c>
      <c r="P265" s="7">
        <v>44.87</v>
      </c>
      <c r="Q265" s="7">
        <v>51.87</v>
      </c>
      <c r="R265" s="7">
        <v>44.87</v>
      </c>
      <c r="S265" s="7">
        <v>44.87</v>
      </c>
      <c r="T265" s="7">
        <v>44.87</v>
      </c>
      <c r="U265" s="7">
        <v>44.87</v>
      </c>
      <c r="V265" s="7">
        <v>44.87</v>
      </c>
      <c r="W265" s="7">
        <v>44.87</v>
      </c>
      <c r="X265" s="7">
        <v>44.87</v>
      </c>
      <c r="Y265" s="7">
        <v>44.87</v>
      </c>
      <c r="Z265" s="7">
        <v>590.30999999999995</v>
      </c>
    </row>
    <row r="266" spans="1:26" x14ac:dyDescent="0.25">
      <c r="A266" s="12">
        <v>45307</v>
      </c>
      <c r="B266" s="13" t="str">
        <f>TEXT(Budget23[[#This Row],[DATA]],"mmmm")&amp;" "&amp;TEXT(Budget23[[#This Row],[DATA]],"aaaa")</f>
        <v>gennaio 2024</v>
      </c>
      <c r="C266" s="14" t="s">
        <v>13</v>
      </c>
      <c r="D266" s="15"/>
      <c r="E266" s="15">
        <v>3.99</v>
      </c>
      <c r="F266" s="15">
        <f>F265+Budget23[[#This Row],[ENTRATE]]-Budget23[[#This Row],[USCITE]]</f>
        <v>1368.7500000000025</v>
      </c>
      <c r="L266" s="6" t="s">
        <v>13</v>
      </c>
      <c r="M266" s="7">
        <v>3.65</v>
      </c>
      <c r="N266" s="7">
        <v>3.65</v>
      </c>
      <c r="O266" s="7">
        <v>3.65</v>
      </c>
      <c r="P266" s="7">
        <v>3.65</v>
      </c>
      <c r="Q266" s="7">
        <v>3.65</v>
      </c>
      <c r="R266" s="7">
        <v>3.65</v>
      </c>
      <c r="S266" s="7">
        <v>3.65</v>
      </c>
      <c r="T266" s="7">
        <v>3.65</v>
      </c>
      <c r="U266" s="7">
        <v>3.65</v>
      </c>
      <c r="V266" s="7">
        <v>3.99</v>
      </c>
      <c r="W266" s="7">
        <v>3.99</v>
      </c>
      <c r="X266" s="7">
        <v>3.99</v>
      </c>
      <c r="Y266" s="7">
        <v>3.99</v>
      </c>
      <c r="Z266" s="7">
        <v>48.81</v>
      </c>
    </row>
    <row r="267" spans="1:26" x14ac:dyDescent="0.25">
      <c r="A267" s="12">
        <v>45307</v>
      </c>
      <c r="B267" s="13" t="str">
        <f>TEXT(Budget23[[#This Row],[DATA]],"mmmm")&amp;" "&amp;TEXT(Budget23[[#This Row],[DATA]],"aaaa")</f>
        <v>gennaio 2024</v>
      </c>
      <c r="C267" s="14" t="s">
        <v>91</v>
      </c>
      <c r="D267" s="15"/>
      <c r="E267" s="15">
        <v>101.12</v>
      </c>
      <c r="F267" s="15">
        <f>F266+Budget23[[#This Row],[ENTRATE]]-Budget23[[#This Row],[USCITE]]</f>
        <v>1267.6300000000024</v>
      </c>
      <c r="L267" s="6" t="s">
        <v>148</v>
      </c>
      <c r="M267" s="7"/>
      <c r="N267" s="7"/>
      <c r="O267" s="7">
        <v>71.45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>
        <v>71.45</v>
      </c>
    </row>
    <row r="268" spans="1:26" x14ac:dyDescent="0.25">
      <c r="A268" s="12">
        <v>45307</v>
      </c>
      <c r="B268" s="13" t="str">
        <f>TEXT(Budget23[[#This Row],[DATA]],"mmmm")&amp;" "&amp;TEXT(Budget23[[#This Row],[DATA]],"aaaa")</f>
        <v>gennaio 2024</v>
      </c>
      <c r="C268" s="14" t="s">
        <v>92</v>
      </c>
      <c r="D268" s="15"/>
      <c r="E268" s="15">
        <v>49</v>
      </c>
      <c r="F268" s="15">
        <f>F267+Budget23[[#This Row],[ENTRATE]]-Budget23[[#This Row],[USCITE]]</f>
        <v>1218.6300000000024</v>
      </c>
      <c r="L268" s="6" t="s">
        <v>149</v>
      </c>
      <c r="M268" s="7"/>
      <c r="N268" s="7"/>
      <c r="O268" s="7">
        <v>40.799999999999997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>
        <v>40.799999999999997</v>
      </c>
    </row>
    <row r="269" spans="1:26" x14ac:dyDescent="0.25">
      <c r="A269" s="12">
        <v>45307</v>
      </c>
      <c r="B269" s="13" t="str">
        <f>TEXT(Budget23[[#This Row],[DATA]],"mmmm")&amp;" "&amp;TEXT(Budget23[[#This Row],[DATA]],"aaaa")</f>
        <v>gennaio 2024</v>
      </c>
      <c r="C269" s="14" t="s">
        <v>70</v>
      </c>
      <c r="D269" s="15"/>
      <c r="E269" s="15">
        <v>40</v>
      </c>
      <c r="F269" s="15">
        <f>F268+Budget23[[#This Row],[ENTRATE]]-Budget23[[#This Row],[USCITE]]</f>
        <v>1178.6300000000024</v>
      </c>
      <c r="L269" s="6" t="s">
        <v>153</v>
      </c>
      <c r="M269" s="7"/>
      <c r="N269" s="7"/>
      <c r="O269" s="7"/>
      <c r="P269" s="7">
        <v>74</v>
      </c>
      <c r="Q269" s="7"/>
      <c r="R269" s="7"/>
      <c r="S269" s="7"/>
      <c r="T269" s="7"/>
      <c r="U269" s="7"/>
      <c r="V269" s="7"/>
      <c r="W269" s="7"/>
      <c r="X269" s="7"/>
      <c r="Y269" s="7"/>
      <c r="Z269" s="7">
        <v>74</v>
      </c>
    </row>
    <row r="270" spans="1:26" x14ac:dyDescent="0.25">
      <c r="A270" s="12">
        <v>45307</v>
      </c>
      <c r="B270" s="13" t="str">
        <f>TEXT(Budget23[[#This Row],[DATA]],"mmmm")&amp;" "&amp;TEXT(Budget23[[#This Row],[DATA]],"aaaa")</f>
        <v>gennaio 2024</v>
      </c>
      <c r="C270" s="14" t="s">
        <v>16</v>
      </c>
      <c r="D270" s="15"/>
      <c r="E270" s="15">
        <v>44.12</v>
      </c>
      <c r="F270" s="15">
        <f>F269+Budget23[[#This Row],[ENTRATE]]-Budget23[[#This Row],[USCITE]]</f>
        <v>1134.5100000000025</v>
      </c>
      <c r="L270" s="6" t="s">
        <v>154</v>
      </c>
      <c r="M270" s="7"/>
      <c r="N270" s="7"/>
      <c r="O270" s="7"/>
      <c r="P270" s="7">
        <v>105</v>
      </c>
      <c r="Q270" s="7"/>
      <c r="R270" s="7"/>
      <c r="S270" s="7"/>
      <c r="T270" s="7"/>
      <c r="U270" s="7"/>
      <c r="V270" s="7"/>
      <c r="W270" s="7"/>
      <c r="X270" s="7"/>
      <c r="Y270" s="7"/>
      <c r="Z270" s="7">
        <v>105</v>
      </c>
    </row>
    <row r="271" spans="1:26" x14ac:dyDescent="0.25">
      <c r="A271" s="12">
        <v>45307</v>
      </c>
      <c r="B271" s="13" t="str">
        <f>TEXT(Budget23[[#This Row],[DATA]],"mmmm")&amp;" "&amp;TEXT(Budget23[[#This Row],[DATA]],"aaaa")</f>
        <v>gennaio 2024</v>
      </c>
      <c r="C271" s="14" t="s">
        <v>93</v>
      </c>
      <c r="D271" s="15"/>
      <c r="E271" s="15">
        <v>48</v>
      </c>
      <c r="F271" s="15">
        <f>F270+Budget23[[#This Row],[ENTRATE]]-Budget23[[#This Row],[USCITE]]</f>
        <v>1086.5100000000025</v>
      </c>
      <c r="L271" s="6" t="s">
        <v>107</v>
      </c>
      <c r="M271" s="7"/>
      <c r="N271" s="7"/>
      <c r="O271" s="7"/>
      <c r="P271" s="7">
        <v>15</v>
      </c>
      <c r="Q271" s="7"/>
      <c r="R271" s="7"/>
      <c r="S271" s="7"/>
      <c r="T271" s="7"/>
      <c r="U271" s="7"/>
      <c r="V271" s="7"/>
      <c r="W271" s="7"/>
      <c r="X271" s="7"/>
      <c r="Y271" s="7"/>
      <c r="Z271" s="7">
        <v>15</v>
      </c>
    </row>
    <row r="272" spans="1:26" x14ac:dyDescent="0.25">
      <c r="A272" s="12">
        <v>45307</v>
      </c>
      <c r="B272" s="13" t="str">
        <f>TEXT(Budget23[[#This Row],[DATA]],"mmmm")&amp;" "&amp;TEXT(Budget23[[#This Row],[DATA]],"aaaa")</f>
        <v>gennaio 2024</v>
      </c>
      <c r="C272" s="14" t="s">
        <v>9</v>
      </c>
      <c r="D272" s="15"/>
      <c r="E272" s="15">
        <f>200+12</f>
        <v>212</v>
      </c>
      <c r="F272" s="15">
        <f>F271+Budget23[[#This Row],[ENTRATE]]-Budget23[[#This Row],[USCITE]]</f>
        <v>874.51000000000249</v>
      </c>
      <c r="L272" s="6" t="s">
        <v>25</v>
      </c>
      <c r="M272" s="7"/>
      <c r="N272" s="7"/>
      <c r="O272" s="7"/>
      <c r="P272" s="7">
        <v>262.17</v>
      </c>
      <c r="Q272" s="7"/>
      <c r="R272" s="7"/>
      <c r="S272" s="7"/>
      <c r="T272" s="7"/>
      <c r="U272" s="7"/>
      <c r="V272" s="7"/>
      <c r="W272" s="7">
        <v>262.17</v>
      </c>
      <c r="X272" s="7"/>
      <c r="Y272" s="7"/>
      <c r="Z272" s="7">
        <v>524.34</v>
      </c>
    </row>
    <row r="273" spans="1:26" x14ac:dyDescent="0.25">
      <c r="A273" s="12">
        <v>45307</v>
      </c>
      <c r="B273" s="13" t="str">
        <f>TEXT(Budget23[[#This Row],[DATA]],"mmmm")&amp;" "&amp;TEXT(Budget23[[#This Row],[DATA]],"aaaa")</f>
        <v>gennaio 2024</v>
      </c>
      <c r="C273" s="14" t="s">
        <v>7</v>
      </c>
      <c r="D273" s="15"/>
      <c r="E273" s="15">
        <v>27.41</v>
      </c>
      <c r="F273" s="15">
        <f>F272+Budget23[[#This Row],[ENTRATE]]-Budget23[[#This Row],[USCITE]]</f>
        <v>847.10000000000252</v>
      </c>
      <c r="L273" s="6" t="s">
        <v>155</v>
      </c>
      <c r="M273" s="7"/>
      <c r="N273" s="7"/>
      <c r="O273" s="7"/>
      <c r="P273" s="7">
        <v>9</v>
      </c>
      <c r="Q273" s="7"/>
      <c r="R273" s="7"/>
      <c r="S273" s="7"/>
      <c r="T273" s="7"/>
      <c r="U273" s="7"/>
      <c r="V273" s="7">
        <v>16.8</v>
      </c>
      <c r="W273" s="7">
        <v>20</v>
      </c>
      <c r="X273" s="7"/>
      <c r="Y273" s="7"/>
      <c r="Z273" s="7">
        <v>45.8</v>
      </c>
    </row>
    <row r="274" spans="1:26" x14ac:dyDescent="0.25">
      <c r="A274" s="12">
        <v>45307</v>
      </c>
      <c r="B274" s="13" t="str">
        <f>TEXT(Budget23[[#This Row],[DATA]],"mmmm")&amp;" "&amp;TEXT(Budget23[[#This Row],[DATA]],"aaaa")</f>
        <v>gennaio 2024</v>
      </c>
      <c r="C274" s="14" t="s">
        <v>7</v>
      </c>
      <c r="D274" s="15"/>
      <c r="E274" s="15">
        <v>27.2</v>
      </c>
      <c r="F274" s="15">
        <f>F273+Budget23[[#This Row],[ENTRATE]]-Budget23[[#This Row],[USCITE]]</f>
        <v>819.90000000000248</v>
      </c>
      <c r="L274" s="6" t="s">
        <v>150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12">
        <v>45307</v>
      </c>
      <c r="B275" s="13" t="str">
        <f>TEXT(Budget23[[#This Row],[DATA]],"mmmm")&amp;" "&amp;TEXT(Budget23[[#This Row],[DATA]],"aaaa")</f>
        <v>gennaio 2024</v>
      </c>
      <c r="C275" s="14" t="s">
        <v>20</v>
      </c>
      <c r="D275" s="15"/>
      <c r="E275" s="15">
        <v>126.04</v>
      </c>
      <c r="F275" s="15">
        <f>F274+Budget23[[#This Row],[ENTRATE]]-Budget23[[#This Row],[USCITE]]</f>
        <v>693.86000000000251</v>
      </c>
      <c r="L275" s="6" t="s">
        <v>156</v>
      </c>
      <c r="M275" s="7"/>
      <c r="N275" s="7"/>
      <c r="O275" s="7"/>
      <c r="P275" s="7">
        <v>28</v>
      </c>
      <c r="Q275" s="7"/>
      <c r="R275" s="7"/>
      <c r="S275" s="7"/>
      <c r="T275" s="7"/>
      <c r="U275" s="7"/>
      <c r="V275" s="7"/>
      <c r="W275" s="7"/>
      <c r="X275" s="7"/>
      <c r="Y275" s="7"/>
      <c r="Z275" s="7">
        <v>28</v>
      </c>
    </row>
    <row r="276" spans="1:26" x14ac:dyDescent="0.25">
      <c r="A276" s="12">
        <v>45307</v>
      </c>
      <c r="B276" s="13" t="str">
        <f>TEXT(Budget23[[#This Row],[DATA]],"mmmm")&amp;" "&amp;TEXT(Budget23[[#This Row],[DATA]],"aaaa")</f>
        <v>gennaio 2024</v>
      </c>
      <c r="C276" s="14" t="s">
        <v>94</v>
      </c>
      <c r="D276" s="15"/>
      <c r="E276" s="15">
        <v>54.98</v>
      </c>
      <c r="F276" s="15">
        <f>F275+Budget23[[#This Row],[ENTRATE]]-Budget23[[#This Row],[USCITE]]</f>
        <v>638.8800000000025</v>
      </c>
      <c r="L276" s="6" t="s">
        <v>157</v>
      </c>
      <c r="M276" s="7"/>
      <c r="N276" s="7"/>
      <c r="O276" s="7"/>
      <c r="P276" s="7">
        <v>487</v>
      </c>
      <c r="Q276" s="7"/>
      <c r="R276" s="7"/>
      <c r="S276" s="7"/>
      <c r="T276" s="7"/>
      <c r="U276" s="7"/>
      <c r="V276" s="7"/>
      <c r="W276" s="7"/>
      <c r="X276" s="7"/>
      <c r="Y276" s="7"/>
      <c r="Z276" s="7">
        <v>487</v>
      </c>
    </row>
    <row r="277" spans="1:26" x14ac:dyDescent="0.25">
      <c r="A277" s="12">
        <v>45307</v>
      </c>
      <c r="B277" s="13" t="str">
        <f>TEXT(Budget23[[#This Row],[DATA]],"mmmm")&amp;" "&amp;TEXT(Budget23[[#This Row],[DATA]],"aaaa")</f>
        <v>gennaio 2024</v>
      </c>
      <c r="C277" s="14" t="s">
        <v>7</v>
      </c>
      <c r="D277" s="15"/>
      <c r="E277" s="15">
        <v>32</v>
      </c>
      <c r="F277" s="15">
        <f>F276+Budget23[[#This Row],[ENTRATE]]-Budget23[[#This Row],[USCITE]]</f>
        <v>606.8800000000025</v>
      </c>
      <c r="L277" s="6" t="s">
        <v>151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12">
        <v>45307</v>
      </c>
      <c r="B278" s="13" t="str">
        <f>TEXT(Budget23[[#This Row],[DATA]],"mmmm")&amp;" "&amp;TEXT(Budget23[[#This Row],[DATA]],"aaaa")</f>
        <v>gennaio 2024</v>
      </c>
      <c r="C278" s="14" t="s">
        <v>95</v>
      </c>
      <c r="D278" s="15"/>
      <c r="E278" s="15">
        <v>154</v>
      </c>
      <c r="F278" s="15">
        <f>F277+Budget23[[#This Row],[ENTRATE]]-Budget23[[#This Row],[USCITE]]</f>
        <v>452.8800000000025</v>
      </c>
      <c r="L278" s="6" t="s">
        <v>152</v>
      </c>
      <c r="M278" s="7"/>
      <c r="N278" s="7"/>
      <c r="O278" s="7"/>
      <c r="P278" s="7">
        <v>500.5</v>
      </c>
      <c r="Q278" s="7"/>
      <c r="R278" s="7"/>
      <c r="S278" s="7"/>
      <c r="T278" s="7"/>
      <c r="U278" s="7"/>
      <c r="V278" s="7"/>
      <c r="W278" s="7"/>
      <c r="X278" s="7"/>
      <c r="Y278" s="7"/>
      <c r="Z278" s="7">
        <v>500.5</v>
      </c>
    </row>
    <row r="279" spans="1:26" x14ac:dyDescent="0.25">
      <c r="A279" s="12">
        <v>45307</v>
      </c>
      <c r="B279" s="13" t="str">
        <f>TEXT(Budget23[[#This Row],[DATA]],"mmmm")&amp;" "&amp;TEXT(Budget23[[#This Row],[DATA]],"aaaa")</f>
        <v>gennaio 2024</v>
      </c>
      <c r="C279" s="14" t="s">
        <v>16</v>
      </c>
      <c r="D279" s="15"/>
      <c r="E279" s="15">
        <v>45.24</v>
      </c>
      <c r="F279" s="15">
        <f>F278+Budget23[[#This Row],[ENTRATE]]-Budget23[[#This Row],[USCITE]]</f>
        <v>407.64000000000249</v>
      </c>
      <c r="L279" s="6" t="s">
        <v>113</v>
      </c>
      <c r="M279" s="7"/>
      <c r="N279" s="7"/>
      <c r="O279" s="7"/>
      <c r="P279" s="7"/>
      <c r="Q279" s="7">
        <v>13</v>
      </c>
      <c r="R279" s="7"/>
      <c r="S279" s="7"/>
      <c r="T279" s="7"/>
      <c r="U279" s="7"/>
      <c r="V279" s="7"/>
      <c r="W279" s="7"/>
      <c r="X279" s="7"/>
      <c r="Y279" s="7"/>
      <c r="Z279" s="7">
        <v>13</v>
      </c>
    </row>
    <row r="280" spans="1:26" x14ac:dyDescent="0.25">
      <c r="A280" s="12">
        <v>45307</v>
      </c>
      <c r="B280" s="13" t="str">
        <f>TEXT(Budget23[[#This Row],[DATA]],"mmmm")&amp;" "&amp;TEXT(Budget23[[#This Row],[DATA]],"aaaa")</f>
        <v>gennaio 2024</v>
      </c>
      <c r="C280" s="14" t="s">
        <v>96</v>
      </c>
      <c r="D280" s="15"/>
      <c r="E280" s="15">
        <v>9.5</v>
      </c>
      <c r="F280" s="15">
        <f>F279+Budget23[[#This Row],[ENTRATE]]-Budget23[[#This Row],[USCITE]]</f>
        <v>398.14000000000249</v>
      </c>
      <c r="L280" s="6" t="s">
        <v>46</v>
      </c>
      <c r="M280" s="7"/>
      <c r="N280" s="7"/>
      <c r="O280" s="7"/>
      <c r="P280" s="7"/>
      <c r="Q280" s="7">
        <v>363.89</v>
      </c>
      <c r="R280" s="7"/>
      <c r="S280" s="7">
        <v>195.47</v>
      </c>
      <c r="T280" s="7"/>
      <c r="U280" s="7"/>
      <c r="V280" s="7"/>
      <c r="W280" s="7"/>
      <c r="X280" s="7"/>
      <c r="Y280" s="7"/>
      <c r="Z280" s="7">
        <v>559.36</v>
      </c>
    </row>
    <row r="281" spans="1:26" x14ac:dyDescent="0.25">
      <c r="A281" s="12">
        <v>45307</v>
      </c>
      <c r="B281" s="13" t="str">
        <f>TEXT(Budget23[[#This Row],[DATA]],"mmmm")&amp;" "&amp;TEXT(Budget23[[#This Row],[DATA]],"aaaa")</f>
        <v>gennaio 2024</v>
      </c>
      <c r="C281" s="14" t="s">
        <v>7</v>
      </c>
      <c r="D281" s="15"/>
      <c r="E281" s="15">
        <v>23.32</v>
      </c>
      <c r="F281" s="15">
        <f>F280+Budget23[[#This Row],[ENTRATE]]-Budget23[[#This Row],[USCITE]]</f>
        <v>374.82000000000249</v>
      </c>
      <c r="L281" s="6" t="s">
        <v>97</v>
      </c>
      <c r="M281" s="7"/>
      <c r="N281" s="7"/>
      <c r="O281" s="7"/>
      <c r="P281" s="7"/>
      <c r="Q281" s="7">
        <v>76.760000000000005</v>
      </c>
      <c r="R281" s="7"/>
      <c r="S281" s="7"/>
      <c r="T281" s="7"/>
      <c r="U281" s="7"/>
      <c r="V281" s="7"/>
      <c r="W281" s="7"/>
      <c r="X281" s="7"/>
      <c r="Y281" s="7">
        <v>100</v>
      </c>
      <c r="Z281" s="7">
        <v>176.76</v>
      </c>
    </row>
    <row r="282" spans="1:26" x14ac:dyDescent="0.25">
      <c r="A282" s="12">
        <v>45307</v>
      </c>
      <c r="B282" s="13" t="str">
        <f>TEXT(Budget23[[#This Row],[DATA]],"mmmm")&amp;" "&amp;TEXT(Budget23[[#This Row],[DATA]],"aaaa")</f>
        <v>gennaio 2024</v>
      </c>
      <c r="C282" s="14" t="s">
        <v>97</v>
      </c>
      <c r="D282" s="15"/>
      <c r="E282" s="15">
        <v>100</v>
      </c>
      <c r="F282" s="15">
        <f>F281+Budget23[[#This Row],[ENTRATE]]-Budget23[[#This Row],[USCITE]]</f>
        <v>274.82000000000249</v>
      </c>
      <c r="L282" s="6" t="s">
        <v>159</v>
      </c>
      <c r="M282" s="7"/>
      <c r="N282" s="7"/>
      <c r="O282" s="7"/>
      <c r="P282" s="7"/>
      <c r="Q282" s="7">
        <v>19.989999999999998</v>
      </c>
      <c r="R282" s="7"/>
      <c r="S282" s="7">
        <v>99.99</v>
      </c>
      <c r="T282" s="7"/>
      <c r="U282" s="7"/>
      <c r="V282" s="7"/>
      <c r="W282" s="7"/>
      <c r="X282" s="7"/>
      <c r="Y282" s="7"/>
      <c r="Z282" s="7">
        <v>119.97999999999999</v>
      </c>
    </row>
    <row r="283" spans="1:26" x14ac:dyDescent="0.25">
      <c r="A283" s="12">
        <v>45307</v>
      </c>
      <c r="B283" s="13" t="str">
        <f>TEXT(Budget23[[#This Row],[DATA]],"mmmm")&amp;" "&amp;TEXT(Budget23[[#This Row],[DATA]],"aaaa")</f>
        <v>gennaio 2024</v>
      </c>
      <c r="C283" s="14" t="s">
        <v>99</v>
      </c>
      <c r="D283" s="15"/>
      <c r="E283" s="15">
        <v>49.9</v>
      </c>
      <c r="F283" s="15">
        <f>F282+Budget23[[#This Row],[ENTRATE]]-Budget23[[#This Row],[USCITE]]</f>
        <v>224.92000000000249</v>
      </c>
      <c r="L283" s="6" t="s">
        <v>160</v>
      </c>
      <c r="M283" s="7"/>
      <c r="N283" s="7"/>
      <c r="O283" s="7"/>
      <c r="P283" s="7"/>
      <c r="Q283" s="7">
        <v>124</v>
      </c>
      <c r="R283" s="7"/>
      <c r="S283" s="7"/>
      <c r="T283" s="7"/>
      <c r="U283" s="7"/>
      <c r="V283" s="7"/>
      <c r="W283" s="7"/>
      <c r="X283" s="7"/>
      <c r="Y283" s="7"/>
      <c r="Z283" s="7">
        <v>124</v>
      </c>
    </row>
    <row r="284" spans="1:26" x14ac:dyDescent="0.25">
      <c r="A284" s="12">
        <v>45322</v>
      </c>
      <c r="B284" s="13" t="str">
        <f>TEXT(Budget23[[#This Row],[DATA]],"mmmm")&amp;" "&amp;TEXT(Budget23[[#This Row],[DATA]],"aaaa")</f>
        <v>gennaio 2024</v>
      </c>
      <c r="C284" s="14" t="s">
        <v>18</v>
      </c>
      <c r="D284" s="15"/>
      <c r="E284" s="15">
        <v>307.01</v>
      </c>
      <c r="F284" s="15">
        <f>F283+Budget23[[#This Row],[ENTRATE]]-Budget23[[#This Row],[USCITE]]</f>
        <v>-82.089999999997502</v>
      </c>
      <c r="L284" s="6" t="s">
        <v>161</v>
      </c>
      <c r="M284" s="7"/>
      <c r="N284" s="7"/>
      <c r="O284" s="7"/>
      <c r="P284" s="7"/>
      <c r="Q284" s="7">
        <v>63</v>
      </c>
      <c r="R284" s="7"/>
      <c r="S284" s="7"/>
      <c r="T284" s="7"/>
      <c r="U284" s="7"/>
      <c r="V284" s="7"/>
      <c r="W284" s="7"/>
      <c r="X284" s="7"/>
      <c r="Y284" s="7"/>
      <c r="Z284" s="7">
        <v>63</v>
      </c>
    </row>
    <row r="285" spans="1:26" x14ac:dyDescent="0.25">
      <c r="A285" s="18" t="s">
        <v>90</v>
      </c>
      <c r="B285" s="18"/>
      <c r="C285" s="18"/>
      <c r="D285" s="20">
        <f>SUBTOTAL(109,Budget23[ENTRATE])</f>
        <v>32563.43</v>
      </c>
      <c r="E285" s="20">
        <f>SUBTOTAL(109,Budget23[USCITE])</f>
        <v>32645.51999999999</v>
      </c>
      <c r="F285" s="20">
        <f>Budget23[[#Totals],[ENTRATE]]-Budget23[[#Totals],[USCITE]]</f>
        <v>-82.089999999989232</v>
      </c>
      <c r="L285" s="6" t="s">
        <v>158</v>
      </c>
      <c r="M285" s="7"/>
      <c r="N285" s="7"/>
      <c r="O285" s="7"/>
      <c r="P285" s="7"/>
      <c r="Q285" s="7">
        <v>65</v>
      </c>
      <c r="R285" s="7"/>
      <c r="S285" s="7"/>
      <c r="T285" s="7"/>
      <c r="U285" s="7"/>
      <c r="V285" s="7"/>
      <c r="W285" s="7"/>
      <c r="X285" s="7"/>
      <c r="Y285" s="7"/>
      <c r="Z285" s="7">
        <v>65</v>
      </c>
    </row>
    <row r="286" spans="1:26" x14ac:dyDescent="0.25">
      <c r="L286" s="6" t="s">
        <v>165</v>
      </c>
      <c r="M286" s="7"/>
      <c r="N286" s="7"/>
      <c r="O286" s="7"/>
      <c r="P286" s="7"/>
      <c r="Q286" s="7"/>
      <c r="R286" s="7">
        <v>97.32</v>
      </c>
      <c r="S286" s="7"/>
      <c r="T286" s="7"/>
      <c r="U286" s="7"/>
      <c r="V286" s="7"/>
      <c r="W286" s="7"/>
      <c r="X286" s="7"/>
      <c r="Y286" s="7"/>
      <c r="Z286" s="7">
        <v>97.32</v>
      </c>
    </row>
    <row r="287" spans="1:26" x14ac:dyDescent="0.25">
      <c r="C287" t="s">
        <v>195</v>
      </c>
      <c r="D287" t="s">
        <v>196</v>
      </c>
      <c r="E287" t="s">
        <v>197</v>
      </c>
      <c r="L287" s="6" t="s">
        <v>166</v>
      </c>
      <c r="M287" s="7"/>
      <c r="N287" s="7"/>
      <c r="O287" s="7"/>
      <c r="P287" s="7"/>
      <c r="Q287" s="7"/>
      <c r="R287" s="7">
        <v>177.25</v>
      </c>
      <c r="S287" s="7"/>
      <c r="T287" s="7"/>
      <c r="U287" s="7"/>
      <c r="V287" s="7"/>
      <c r="W287" s="7"/>
      <c r="X287" s="7"/>
      <c r="Y287" s="7"/>
      <c r="Z287" s="7">
        <v>177.25</v>
      </c>
    </row>
    <row r="288" spans="1:26" x14ac:dyDescent="0.25">
      <c r="A288" t="s">
        <v>198</v>
      </c>
      <c r="B288" t="s">
        <v>199</v>
      </c>
      <c r="C288" s="2">
        <v>1100</v>
      </c>
      <c r="D288" s="2"/>
      <c r="E288" s="2">
        <f>C288-D288</f>
        <v>1100</v>
      </c>
      <c r="L288" s="6" t="s">
        <v>162</v>
      </c>
      <c r="M288" s="7"/>
      <c r="N288" s="7"/>
      <c r="O288" s="7"/>
      <c r="P288" s="7"/>
      <c r="Q288" s="7">
        <v>35.89</v>
      </c>
      <c r="R288" s="7"/>
      <c r="S288" s="7"/>
      <c r="T288" s="7"/>
      <c r="U288" s="7"/>
      <c r="V288" s="7"/>
      <c r="W288" s="7"/>
      <c r="X288" s="7"/>
      <c r="Y288" s="7"/>
      <c r="Z288" s="7">
        <v>35.89</v>
      </c>
    </row>
    <row r="289" spans="2:26" x14ac:dyDescent="0.25">
      <c r="B289" s="38" t="s">
        <v>200</v>
      </c>
      <c r="C289" s="2">
        <f>300+1200+500+500+500+500+500+500</f>
        <v>4500</v>
      </c>
      <c r="D289" s="2">
        <f>E198+E199+E208-10.5+E232-10+E221-50+E226-0.5+E255-60+E242-10+E257+E270+E280+E275+E271+E268+E248+E279+E278+E272+12+E260-10+E261-0.5</f>
        <v>5071.5199999999995</v>
      </c>
      <c r="E289" s="2">
        <f>C289-D289</f>
        <v>-571.51999999999953</v>
      </c>
      <c r="L289" s="6" t="s">
        <v>163</v>
      </c>
      <c r="M289" s="7"/>
      <c r="N289" s="7"/>
      <c r="O289" s="7"/>
      <c r="P289" s="7"/>
      <c r="Q289" s="7">
        <v>0</v>
      </c>
      <c r="R289" s="7"/>
      <c r="S289" s="7"/>
      <c r="T289" s="7"/>
      <c r="U289" s="7"/>
      <c r="V289" s="7"/>
      <c r="W289" s="7"/>
      <c r="X289" s="7"/>
      <c r="Y289" s="7"/>
      <c r="Z289" s="7">
        <v>0</v>
      </c>
    </row>
    <row r="290" spans="2:26" x14ac:dyDescent="0.25">
      <c r="B290" s="38"/>
      <c r="C290" s="2"/>
      <c r="L290" s="6" t="s">
        <v>164</v>
      </c>
      <c r="M290" s="7"/>
      <c r="N290" s="7"/>
      <c r="O290" s="7"/>
      <c r="P290" s="7"/>
      <c r="Q290" s="7"/>
      <c r="R290" s="7">
        <v>12</v>
      </c>
      <c r="S290" s="7"/>
      <c r="T290" s="7"/>
      <c r="U290" s="7"/>
      <c r="V290" s="7"/>
      <c r="W290" s="7"/>
      <c r="X290" s="7"/>
      <c r="Y290" s="7"/>
      <c r="Z290" s="7">
        <v>12</v>
      </c>
    </row>
    <row r="291" spans="2:26" x14ac:dyDescent="0.25">
      <c r="C291" s="2">
        <f>SUM(C288:C290)</f>
        <v>5600</v>
      </c>
      <c r="D291" s="2">
        <f>SUM(D288:D289)</f>
        <v>5071.5199999999995</v>
      </c>
      <c r="E291" s="2">
        <f>SUM(E288:E289)</f>
        <v>528.48000000000047</v>
      </c>
      <c r="L291" s="6" t="s">
        <v>167</v>
      </c>
      <c r="M291" s="7"/>
      <c r="N291" s="7"/>
      <c r="O291" s="7"/>
      <c r="P291" s="7"/>
      <c r="Q291" s="7"/>
      <c r="R291" s="7"/>
      <c r="S291" s="7">
        <v>26.7</v>
      </c>
      <c r="T291" s="7"/>
      <c r="U291" s="7"/>
      <c r="V291" s="7"/>
      <c r="W291" s="7"/>
      <c r="X291" s="7"/>
      <c r="Y291" s="7"/>
      <c r="Z291" s="7">
        <v>26.7</v>
      </c>
    </row>
    <row r="292" spans="2:26" x14ac:dyDescent="0.25">
      <c r="L292" s="6" t="s">
        <v>70</v>
      </c>
      <c r="M292" s="7"/>
      <c r="N292" s="7"/>
      <c r="O292" s="7"/>
      <c r="P292" s="7"/>
      <c r="Q292" s="7"/>
      <c r="R292" s="7"/>
      <c r="S292" s="7">
        <v>40</v>
      </c>
      <c r="T292" s="7"/>
      <c r="U292" s="7"/>
      <c r="V292" s="7"/>
      <c r="W292" s="7"/>
      <c r="X292" s="7"/>
      <c r="Y292" s="7">
        <v>40</v>
      </c>
      <c r="Z292" s="7">
        <v>80</v>
      </c>
    </row>
    <row r="293" spans="2:26" x14ac:dyDescent="0.25">
      <c r="L293" s="6" t="s">
        <v>168</v>
      </c>
      <c r="M293" s="7"/>
      <c r="N293" s="7"/>
      <c r="O293" s="7"/>
      <c r="P293" s="7"/>
      <c r="Q293" s="7"/>
      <c r="R293" s="7"/>
      <c r="S293" s="7">
        <v>133.5</v>
      </c>
      <c r="T293" s="7"/>
      <c r="U293" s="7"/>
      <c r="V293" s="7"/>
      <c r="W293" s="7"/>
      <c r="X293" s="7"/>
      <c r="Y293" s="7"/>
      <c r="Z293" s="7">
        <v>133.5</v>
      </c>
    </row>
    <row r="294" spans="2:26" x14ac:dyDescent="0.25">
      <c r="L294" s="6" t="s">
        <v>169</v>
      </c>
      <c r="M294" s="7"/>
      <c r="N294" s="7"/>
      <c r="O294" s="7"/>
      <c r="P294" s="7"/>
      <c r="Q294" s="7"/>
      <c r="R294" s="7"/>
      <c r="S294" s="7">
        <v>30.99</v>
      </c>
      <c r="T294" s="7"/>
      <c r="U294" s="7"/>
      <c r="V294" s="7"/>
      <c r="W294" s="7"/>
      <c r="X294" s="7"/>
      <c r="Y294" s="7"/>
      <c r="Z294" s="7">
        <v>30.99</v>
      </c>
    </row>
    <row r="295" spans="2:26" x14ac:dyDescent="0.25">
      <c r="L295" s="6" t="s">
        <v>170</v>
      </c>
      <c r="M295" s="7"/>
      <c r="N295" s="7"/>
      <c r="O295" s="7"/>
      <c r="P295" s="7"/>
      <c r="Q295" s="7"/>
      <c r="R295" s="7"/>
      <c r="S295" s="7"/>
      <c r="T295" s="7">
        <v>21.71</v>
      </c>
      <c r="U295" s="7"/>
      <c r="V295" s="7"/>
      <c r="W295" s="7"/>
      <c r="X295" s="7"/>
      <c r="Y295" s="7"/>
      <c r="Z295" s="7">
        <v>21.71</v>
      </c>
    </row>
    <row r="296" spans="2:26" x14ac:dyDescent="0.25">
      <c r="L296" s="6" t="s">
        <v>106</v>
      </c>
      <c r="M296" s="7"/>
      <c r="N296" s="7"/>
      <c r="O296" s="7"/>
      <c r="P296" s="7"/>
      <c r="Q296" s="7"/>
      <c r="R296" s="7"/>
      <c r="S296" s="7"/>
      <c r="T296" s="7">
        <v>22</v>
      </c>
      <c r="U296" s="7">
        <v>20</v>
      </c>
      <c r="V296" s="7"/>
      <c r="W296" s="7"/>
      <c r="X296" s="7"/>
      <c r="Y296" s="7"/>
      <c r="Z296" s="7">
        <v>42</v>
      </c>
    </row>
    <row r="297" spans="2:26" x14ac:dyDescent="0.25">
      <c r="L297" s="6" t="s">
        <v>171</v>
      </c>
      <c r="M297" s="7"/>
      <c r="N297" s="7"/>
      <c r="O297" s="7"/>
      <c r="P297" s="7"/>
      <c r="Q297" s="7"/>
      <c r="R297" s="7"/>
      <c r="S297" s="7"/>
      <c r="T297" s="7"/>
      <c r="U297" s="7">
        <v>45</v>
      </c>
      <c r="V297" s="7"/>
      <c r="W297" s="7"/>
      <c r="X297" s="7"/>
      <c r="Y297" s="7"/>
      <c r="Z297" s="7">
        <v>45</v>
      </c>
    </row>
    <row r="298" spans="2:26" x14ac:dyDescent="0.25">
      <c r="L298" s="6" t="s">
        <v>23</v>
      </c>
      <c r="M298" s="7"/>
      <c r="N298" s="7"/>
      <c r="O298" s="7"/>
      <c r="P298" s="7"/>
      <c r="Q298" s="7"/>
      <c r="R298" s="7"/>
      <c r="S298" s="7"/>
      <c r="T298" s="7"/>
      <c r="U298" s="7">
        <v>12.6</v>
      </c>
      <c r="V298" s="7"/>
      <c r="W298" s="7"/>
      <c r="X298" s="7">
        <v>35.9</v>
      </c>
      <c r="Y298" s="7"/>
      <c r="Z298" s="7">
        <v>48.5</v>
      </c>
    </row>
    <row r="299" spans="2:26" x14ac:dyDescent="0.25">
      <c r="L299" s="6" t="s">
        <v>64</v>
      </c>
      <c r="M299" s="7"/>
      <c r="N299" s="7"/>
      <c r="O299" s="7"/>
      <c r="P299" s="7"/>
      <c r="Q299" s="7"/>
      <c r="R299" s="7"/>
      <c r="S299" s="7"/>
      <c r="T299" s="7"/>
      <c r="U299" s="7">
        <v>55.6</v>
      </c>
      <c r="V299" s="7"/>
      <c r="W299" s="7"/>
      <c r="X299" s="7"/>
      <c r="Y299" s="7"/>
      <c r="Z299" s="7">
        <v>55.6</v>
      </c>
    </row>
    <row r="300" spans="2:26" x14ac:dyDescent="0.25">
      <c r="L300" s="6" t="s">
        <v>122</v>
      </c>
      <c r="M300" s="7"/>
      <c r="N300" s="7"/>
      <c r="O300" s="7"/>
      <c r="P300" s="7"/>
      <c r="Q300" s="7"/>
      <c r="R300" s="7"/>
      <c r="S300" s="7"/>
      <c r="T300" s="7"/>
      <c r="U300" s="7">
        <v>15.5</v>
      </c>
      <c r="V300" s="7"/>
      <c r="W300" s="7"/>
      <c r="X300" s="7"/>
      <c r="Y300" s="7"/>
      <c r="Z300" s="7">
        <v>15.5</v>
      </c>
    </row>
    <row r="301" spans="2:26" x14ac:dyDescent="0.25">
      <c r="L301" s="6" t="s">
        <v>124</v>
      </c>
      <c r="M301" s="7"/>
      <c r="N301" s="7"/>
      <c r="O301" s="7"/>
      <c r="P301" s="7"/>
      <c r="Q301" s="7"/>
      <c r="R301" s="7"/>
      <c r="S301" s="7"/>
      <c r="T301" s="7"/>
      <c r="U301" s="7">
        <v>109</v>
      </c>
      <c r="V301" s="7"/>
      <c r="W301" s="7"/>
      <c r="X301" s="7"/>
      <c r="Y301" s="7"/>
      <c r="Z301" s="7">
        <v>109</v>
      </c>
    </row>
    <row r="302" spans="2:26" x14ac:dyDescent="0.25">
      <c r="L302" s="6" t="s">
        <v>178</v>
      </c>
      <c r="M302" s="7"/>
      <c r="N302" s="7"/>
      <c r="O302" s="7"/>
      <c r="P302" s="7"/>
      <c r="Q302" s="7"/>
      <c r="R302" s="7"/>
      <c r="S302" s="7"/>
      <c r="T302" s="7"/>
      <c r="U302" s="7"/>
      <c r="V302" s="7">
        <v>109</v>
      </c>
      <c r="W302" s="7"/>
      <c r="X302" s="7"/>
      <c r="Y302" s="7"/>
      <c r="Z302" s="7">
        <v>109</v>
      </c>
    </row>
    <row r="303" spans="2:26" x14ac:dyDescent="0.25">
      <c r="L303" s="6" t="s">
        <v>180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>
        <v>109</v>
      </c>
      <c r="X303" s="7"/>
      <c r="Y303" s="7"/>
      <c r="Z303" s="7">
        <v>109</v>
      </c>
    </row>
    <row r="304" spans="2:26" x14ac:dyDescent="0.25">
      <c r="L304" s="6" t="s">
        <v>172</v>
      </c>
      <c r="M304" s="7"/>
      <c r="N304" s="7"/>
      <c r="O304" s="7"/>
      <c r="P304" s="7"/>
      <c r="Q304" s="7"/>
      <c r="R304" s="7"/>
      <c r="S304" s="7"/>
      <c r="T304" s="7"/>
      <c r="U304" s="7">
        <v>110</v>
      </c>
      <c r="V304" s="7"/>
      <c r="W304" s="7"/>
      <c r="X304" s="7"/>
      <c r="Y304" s="7"/>
      <c r="Z304" s="7">
        <v>110</v>
      </c>
    </row>
    <row r="305" spans="12:26" x14ac:dyDescent="0.25">
      <c r="L305" s="6" t="s">
        <v>176</v>
      </c>
      <c r="M305" s="7"/>
      <c r="N305" s="7"/>
      <c r="O305" s="7"/>
      <c r="P305" s="7"/>
      <c r="Q305" s="7"/>
      <c r="R305" s="7"/>
      <c r="S305" s="7"/>
      <c r="T305" s="7"/>
      <c r="U305" s="7"/>
      <c r="V305" s="7">
        <v>450.79</v>
      </c>
      <c r="W305" s="7"/>
      <c r="X305" s="7"/>
      <c r="Y305" s="7"/>
      <c r="Z305" s="7">
        <v>450.79</v>
      </c>
    </row>
    <row r="306" spans="12:26" x14ac:dyDescent="0.25">
      <c r="L306" s="6" t="s">
        <v>177</v>
      </c>
      <c r="M306" s="7"/>
      <c r="N306" s="7"/>
      <c r="O306" s="7"/>
      <c r="P306" s="7"/>
      <c r="Q306" s="7"/>
      <c r="R306" s="7"/>
      <c r="S306" s="7"/>
      <c r="T306" s="7"/>
      <c r="U306" s="7"/>
      <c r="V306" s="7">
        <v>9.9499999999999993</v>
      </c>
      <c r="W306" s="7"/>
      <c r="X306" s="7"/>
      <c r="Y306" s="7"/>
      <c r="Z306" s="7">
        <v>9.9499999999999993</v>
      </c>
    </row>
    <row r="307" spans="12:26" x14ac:dyDescent="0.25">
      <c r="L307" s="6" t="s">
        <v>173</v>
      </c>
      <c r="M307" s="7"/>
      <c r="N307" s="7"/>
      <c r="O307" s="7"/>
      <c r="P307" s="7"/>
      <c r="Q307" s="7"/>
      <c r="R307" s="7"/>
      <c r="S307" s="7"/>
      <c r="T307" s="7"/>
      <c r="U307" s="7">
        <v>500.5</v>
      </c>
      <c r="V307" s="7"/>
      <c r="W307" s="7"/>
      <c r="X307" s="7"/>
      <c r="Y307" s="7"/>
      <c r="Z307" s="7">
        <v>500.5</v>
      </c>
    </row>
    <row r="308" spans="12:26" x14ac:dyDescent="0.25">
      <c r="L308" s="6" t="s">
        <v>174</v>
      </c>
      <c r="M308" s="7"/>
      <c r="N308" s="7"/>
      <c r="O308" s="7"/>
      <c r="P308" s="7"/>
      <c r="Q308" s="7"/>
      <c r="R308" s="7"/>
      <c r="S308" s="7"/>
      <c r="T308" s="7"/>
      <c r="U308" s="7">
        <v>250</v>
      </c>
      <c r="V308" s="7"/>
      <c r="W308" s="7"/>
      <c r="X308" s="7"/>
      <c r="Y308" s="7"/>
      <c r="Z308" s="7">
        <v>250</v>
      </c>
    </row>
    <row r="309" spans="12:26" x14ac:dyDescent="0.25">
      <c r="L309" s="6" t="s">
        <v>175</v>
      </c>
      <c r="M309" s="7"/>
      <c r="N309" s="7"/>
      <c r="O309" s="7"/>
      <c r="P309" s="7"/>
      <c r="Q309" s="7"/>
      <c r="R309" s="7"/>
      <c r="S309" s="7"/>
      <c r="T309" s="7"/>
      <c r="U309" s="7"/>
      <c r="V309" s="7">
        <v>510</v>
      </c>
      <c r="W309" s="7"/>
      <c r="X309" s="7"/>
      <c r="Y309" s="7"/>
      <c r="Z309" s="7">
        <v>510</v>
      </c>
    </row>
    <row r="310" spans="12:26" x14ac:dyDescent="0.25">
      <c r="L310" s="6" t="s">
        <v>179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>
        <v>102.32000000000001</v>
      </c>
      <c r="X310" s="7"/>
      <c r="Y310" s="7"/>
      <c r="Z310" s="7">
        <v>102.32000000000001</v>
      </c>
    </row>
    <row r="311" spans="12:26" x14ac:dyDescent="0.25">
      <c r="L311" s="6" t="s">
        <v>194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>
        <v>102.32000000000001</v>
      </c>
      <c r="Y311" s="7"/>
      <c r="Z311" s="7">
        <v>102.32000000000001</v>
      </c>
    </row>
    <row r="312" spans="12:26" x14ac:dyDescent="0.25">
      <c r="L312" s="6" t="s">
        <v>91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>
        <v>101.12</v>
      </c>
      <c r="Z312" s="7">
        <v>101.12</v>
      </c>
    </row>
    <row r="313" spans="12:26" x14ac:dyDescent="0.25">
      <c r="L313" s="6" t="s">
        <v>28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>
        <v>33.15</v>
      </c>
      <c r="Y313" s="7"/>
      <c r="Z313" s="7">
        <v>33.15</v>
      </c>
    </row>
    <row r="314" spans="12:26" x14ac:dyDescent="0.25">
      <c r="L314" s="6" t="s">
        <v>16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>
        <v>43.02</v>
      </c>
      <c r="Y314" s="7">
        <v>89.36</v>
      </c>
      <c r="Z314" s="7">
        <v>132.38</v>
      </c>
    </row>
    <row r="315" spans="12:26" x14ac:dyDescent="0.25">
      <c r="L315" s="6" t="s">
        <v>92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>
        <v>49</v>
      </c>
      <c r="Z315" s="7">
        <v>49</v>
      </c>
    </row>
    <row r="316" spans="12:26" x14ac:dyDescent="0.25">
      <c r="L316" s="6" t="s">
        <v>96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>
        <v>9.5</v>
      </c>
      <c r="Z316" s="7">
        <v>9.5</v>
      </c>
    </row>
    <row r="317" spans="12:26" x14ac:dyDescent="0.25">
      <c r="L317" s="6" t="s">
        <v>93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>
        <v>48</v>
      </c>
      <c r="Z317" s="7">
        <v>48</v>
      </c>
    </row>
    <row r="318" spans="12:26" x14ac:dyDescent="0.25">
      <c r="L318" s="6" t="s">
        <v>20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>
        <v>126.04</v>
      </c>
      <c r="Z318" s="7">
        <v>126.04</v>
      </c>
    </row>
    <row r="319" spans="12:26" x14ac:dyDescent="0.25">
      <c r="L319" s="6" t="s">
        <v>94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>
        <v>54.98</v>
      </c>
      <c r="Z319" s="7">
        <v>54.98</v>
      </c>
    </row>
    <row r="320" spans="12:26" x14ac:dyDescent="0.25">
      <c r="L320" s="6" t="s">
        <v>95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>
        <v>154</v>
      </c>
      <c r="Z320" s="7">
        <v>154</v>
      </c>
    </row>
    <row r="321" spans="12:26" x14ac:dyDescent="0.25">
      <c r="L321" s="6" t="s">
        <v>89</v>
      </c>
      <c r="M321" s="7">
        <v>2834.4900000000002</v>
      </c>
      <c r="N321" s="7">
        <v>1342.9700000000003</v>
      </c>
      <c r="O321" s="7">
        <v>1715.06</v>
      </c>
      <c r="P321" s="7">
        <v>4029.1700000000005</v>
      </c>
      <c r="Q321" s="7">
        <v>4171.3600000000006</v>
      </c>
      <c r="R321" s="7">
        <v>1899.6</v>
      </c>
      <c r="S321" s="7">
        <v>2572.8299999999995</v>
      </c>
      <c r="T321" s="7">
        <v>1941.5600000000002</v>
      </c>
      <c r="U321" s="7">
        <v>2872.21</v>
      </c>
      <c r="V321" s="7">
        <v>1869.54</v>
      </c>
      <c r="W321" s="7">
        <v>1737.88</v>
      </c>
      <c r="X321" s="7">
        <v>3158.6499999999996</v>
      </c>
      <c r="Y321" s="7">
        <v>2500.1999999999998</v>
      </c>
      <c r="Z321" s="7">
        <v>32645.520000000004</v>
      </c>
    </row>
  </sheetData>
  <mergeCells count="1">
    <mergeCell ref="B289:B290"/>
  </mergeCells>
  <conditionalFormatting sqref="A2:F284">
    <cfRule type="expression" dxfId="33" priority="3">
      <formula>$A2&lt;TODAY()</formula>
    </cfRule>
    <cfRule type="expression" dxfId="32" priority="4">
      <formula>$A2=TODAY()</formula>
    </cfRule>
  </conditionalFormatting>
  <conditionalFormatting pivot="1" sqref="J240:J251">
    <cfRule type="expression" dxfId="31" priority="2">
      <formula>$J240&lt;$I240</formula>
    </cfRule>
  </conditionalFormatting>
  <conditionalFormatting pivot="1" sqref="J240:J251">
    <cfRule type="expression" dxfId="30" priority="1">
      <formula>$J240&gt;$I240</formula>
    </cfRule>
  </conditionalFormatting>
  <pageMargins left="0.7" right="0.7" top="0.75" bottom="0.75" header="0.3" footer="0.3"/>
  <pageSetup paperSize="9" orientation="portrait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B62C-3100-4789-AC65-98301DD06C01}">
  <dimension ref="A1:J60"/>
  <sheetViews>
    <sheetView workbookViewId="0">
      <pane ySplit="1" topLeftCell="A38" activePane="bottomLeft" state="frozen"/>
      <selection pane="bottomLeft" activeCell="H42" sqref="H42"/>
    </sheetView>
  </sheetViews>
  <sheetFormatPr defaultRowHeight="15" x14ac:dyDescent="0.25"/>
  <cols>
    <col min="1" max="1" width="28.7109375" style="4" customWidth="1"/>
    <col min="2" max="2" width="14.7109375" bestFit="1" customWidth="1"/>
    <col min="3" max="3" width="24.28515625" bestFit="1" customWidth="1"/>
    <col min="4" max="4" width="12.5703125" bestFit="1" customWidth="1"/>
    <col min="5" max="6" width="11" bestFit="1" customWidth="1"/>
    <col min="7" max="7" width="18.28515625" bestFit="1" customWidth="1"/>
    <col min="8" max="8" width="18" bestFit="1" customWidth="1"/>
    <col min="9" max="9" width="18.28515625" bestFit="1" customWidth="1"/>
    <col min="10" max="10" width="16.42578125" bestFit="1" customWidth="1"/>
    <col min="11" max="11" width="12.5703125" bestFit="1" customWidth="1"/>
    <col min="12" max="12" width="14.7109375" bestFit="1" customWidth="1"/>
    <col min="13" max="13" width="18.28515625" bestFit="1" customWidth="1"/>
  </cols>
  <sheetData>
    <row r="1" spans="1:6" x14ac:dyDescent="0.25">
      <c r="A1" s="4" t="s">
        <v>0</v>
      </c>
      <c r="B1" s="1" t="s">
        <v>1</v>
      </c>
      <c r="C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44866</v>
      </c>
      <c r="B2" s="1" t="str">
        <f>TEXT(Budget22[[#This Row],[DATA]],"mmmm")&amp;" "&amp;TEXT(Budget22[[#This Row],[DATA]],"aaaa")</f>
        <v>novembre 2022</v>
      </c>
      <c r="C2" t="s">
        <v>5</v>
      </c>
      <c r="D2" s="2">
        <v>783.7</v>
      </c>
      <c r="E2" s="2"/>
      <c r="F2" s="2">
        <f>Budget22[[#This Row],[ENTRATE]]-Budget22[[#This Row],[USCITE]]</f>
        <v>783.7</v>
      </c>
    </row>
    <row r="3" spans="1:6" x14ac:dyDescent="0.25">
      <c r="A3" s="4">
        <v>44868</v>
      </c>
      <c r="B3" s="1" t="str">
        <f>TEXT(Budget22[[#This Row],[DATA]],"mmmm")&amp;" "&amp;TEXT(Budget22[[#This Row],[DATA]],"aaaa")</f>
        <v>novembre 2022</v>
      </c>
      <c r="C3" s="1" t="s">
        <v>7</v>
      </c>
      <c r="D3" s="2"/>
      <c r="E3" s="2">
        <v>55</v>
      </c>
      <c r="F3" s="2">
        <f>F2+Budget22[[#This Row],[ENTRATE]]-Budget22[[#This Row],[USCITE]]</f>
        <v>728.7</v>
      </c>
    </row>
    <row r="4" spans="1:6" x14ac:dyDescent="0.25">
      <c r="A4" s="4">
        <v>44872</v>
      </c>
      <c r="B4" s="1" t="str">
        <f>TEXT(Budget22[[#This Row],[DATA]],"mmmm")&amp;" "&amp;TEXT(Budget22[[#This Row],[DATA]],"aaaa")</f>
        <v>novembre 2022</v>
      </c>
      <c r="C4" s="1" t="s">
        <v>7</v>
      </c>
      <c r="D4" s="2"/>
      <c r="E4" s="2">
        <v>19</v>
      </c>
      <c r="F4" s="2">
        <f>F3+Budget22[[#This Row],[ENTRATE]]-Budget22[[#This Row],[USCITE]]</f>
        <v>709.7</v>
      </c>
    </row>
    <row r="5" spans="1:6" x14ac:dyDescent="0.25">
      <c r="A5" s="4">
        <v>44872</v>
      </c>
      <c r="B5" s="1" t="str">
        <f>TEXT(Budget22[[#This Row],[DATA]],"mmmm")&amp;" "&amp;TEXT(Budget22[[#This Row],[DATA]],"aaaa")</f>
        <v>novembre 2022</v>
      </c>
      <c r="C5" t="s">
        <v>7</v>
      </c>
      <c r="D5" s="2"/>
      <c r="E5" s="2">
        <v>28.46</v>
      </c>
      <c r="F5" s="2">
        <f>F4+Budget22[[#This Row],[ENTRATE]]-Budget22[[#This Row],[USCITE]]</f>
        <v>681.24</v>
      </c>
    </row>
    <row r="6" spans="1:6" x14ac:dyDescent="0.25">
      <c r="A6" s="4">
        <v>44873</v>
      </c>
      <c r="B6" s="1" t="str">
        <f>TEXT(Budget22[[#This Row],[DATA]],"mmmm")&amp;" "&amp;TEXT(Budget22[[#This Row],[DATA]],"aaaa")</f>
        <v>novembre 2022</v>
      </c>
      <c r="C6" t="s">
        <v>8</v>
      </c>
      <c r="D6" s="2"/>
      <c r="E6" s="2">
        <v>44.87</v>
      </c>
      <c r="F6" s="2">
        <f>F5+Budget22[[#This Row],[ENTRATE]]-Budget22[[#This Row],[USCITE]]</f>
        <v>636.37</v>
      </c>
    </row>
    <row r="7" spans="1:6" x14ac:dyDescent="0.25">
      <c r="A7" s="4">
        <v>44879</v>
      </c>
      <c r="B7" s="1" t="str">
        <f>TEXT(Budget22[[#This Row],[DATA]],"mmmm")&amp;" "&amp;TEXT(Budget22[[#This Row],[DATA]],"aaaa")</f>
        <v>novembre 2022</v>
      </c>
      <c r="C7" t="s">
        <v>7</v>
      </c>
      <c r="D7" s="2"/>
      <c r="E7" s="2">
        <v>25.3</v>
      </c>
      <c r="F7" s="2">
        <f>F6+Budget22[[#This Row],[ENTRATE]]-Budget22[[#This Row],[USCITE]]</f>
        <v>611.07000000000005</v>
      </c>
    </row>
    <row r="8" spans="1:6" x14ac:dyDescent="0.25">
      <c r="A8" s="4">
        <v>44879</v>
      </c>
      <c r="B8" s="1" t="str">
        <f>TEXT(Budget22[[#This Row],[DATA]],"mmmm")&amp;" "&amp;TEXT(Budget22[[#This Row],[DATA]],"aaaa")</f>
        <v>novembre 2022</v>
      </c>
      <c r="C8" t="s">
        <v>9</v>
      </c>
      <c r="D8" s="2"/>
      <c r="E8" s="2">
        <v>100</v>
      </c>
      <c r="F8" s="2">
        <f>F7+Budget22[[#This Row],[ENTRATE]]-Budget22[[#This Row],[USCITE]]</f>
        <v>511.07000000000005</v>
      </c>
    </row>
    <row r="9" spans="1:6" x14ac:dyDescent="0.25">
      <c r="A9" s="4">
        <v>44879</v>
      </c>
      <c r="B9" s="1" t="str">
        <f>TEXT(Budget22[[#This Row],[DATA]],"mmmm")&amp;" "&amp;TEXT(Budget22[[#This Row],[DATA]],"aaaa")</f>
        <v>novembre 2022</v>
      </c>
      <c r="C9" t="s">
        <v>10</v>
      </c>
      <c r="D9" s="2">
        <v>1707</v>
      </c>
      <c r="E9" s="2"/>
      <c r="F9" s="2">
        <f>F8+Budget22[[#This Row],[ENTRATE]]-Budget22[[#This Row],[USCITE]]</f>
        <v>2218.0700000000002</v>
      </c>
    </row>
    <row r="10" spans="1:6" x14ac:dyDescent="0.25">
      <c r="A10" s="4">
        <v>44879</v>
      </c>
      <c r="B10" s="1" t="str">
        <f>TEXT(Budget22[[#This Row],[DATA]],"mmmm")&amp;" "&amp;TEXT(Budget22[[#This Row],[DATA]],"aaaa")</f>
        <v>novembre 2022</v>
      </c>
      <c r="C10" t="s">
        <v>11</v>
      </c>
      <c r="D10" s="2"/>
      <c r="E10" s="2">
        <f>440+0.5</f>
        <v>440.5</v>
      </c>
      <c r="F10" s="2">
        <f>F9+Budget22[[#This Row],[ENTRATE]]-Budget22[[#This Row],[USCITE]]</f>
        <v>1777.5700000000002</v>
      </c>
    </row>
    <row r="11" spans="1:6" x14ac:dyDescent="0.25">
      <c r="A11" s="4">
        <v>44880</v>
      </c>
      <c r="B11" s="1" t="str">
        <f>TEXT(Budget22[[#This Row],[DATA]],"mmmm")&amp;" "&amp;TEXT(Budget22[[#This Row],[DATA]],"aaaa")</f>
        <v>novembre 2022</v>
      </c>
      <c r="C11" t="s">
        <v>201</v>
      </c>
      <c r="D11" s="2"/>
      <c r="E11" s="2">
        <v>3.49</v>
      </c>
      <c r="F11" s="2">
        <f>F10+Budget22[[#This Row],[ENTRATE]]-Budget22[[#This Row],[USCITE]]</f>
        <v>1774.0800000000002</v>
      </c>
    </row>
    <row r="12" spans="1:6" x14ac:dyDescent="0.25">
      <c r="A12" s="4">
        <v>44880</v>
      </c>
      <c r="B12" s="1" t="str">
        <f>TEXT(Budget22[[#This Row],[DATA]],"mmmm")&amp;" "&amp;TEXT(Budget22[[#This Row],[DATA]],"aaaa")</f>
        <v>novembre 2022</v>
      </c>
      <c r="C12" t="s">
        <v>202</v>
      </c>
      <c r="D12" s="2"/>
      <c r="E12" s="2">
        <v>249.11</v>
      </c>
      <c r="F12" s="2">
        <f>F11+Budget22[[#This Row],[ENTRATE]]-Budget22[[#This Row],[USCITE]]</f>
        <v>1524.9700000000003</v>
      </c>
    </row>
    <row r="13" spans="1:6" x14ac:dyDescent="0.25">
      <c r="A13" s="4">
        <v>44880</v>
      </c>
      <c r="B13" s="1" t="str">
        <f>TEXT(Budget22[[#This Row],[DATA]],"mmmm")&amp;" "&amp;TEXT(Budget22[[#This Row],[DATA]],"aaaa")</f>
        <v>novembre 2022</v>
      </c>
      <c r="C13" t="s">
        <v>203</v>
      </c>
      <c r="D13" s="2"/>
      <c r="E13" s="2">
        <v>13.8</v>
      </c>
      <c r="F13" s="2">
        <f>F12+Budget22[[#This Row],[ENTRATE]]-Budget22[[#This Row],[USCITE]]</f>
        <v>1511.1700000000003</v>
      </c>
    </row>
    <row r="14" spans="1:6" x14ac:dyDescent="0.25">
      <c r="A14" s="4">
        <v>44880</v>
      </c>
      <c r="B14" s="1" t="str">
        <f>TEXT(Budget22[[#This Row],[DATA]],"mmmm")&amp;" "&amp;TEXT(Budget22[[#This Row],[DATA]],"aaaa")</f>
        <v>novembre 2022</v>
      </c>
      <c r="C14" t="s">
        <v>204</v>
      </c>
      <c r="D14" s="2"/>
      <c r="E14" s="2">
        <v>44.99</v>
      </c>
      <c r="F14" s="2">
        <f>F13+Budget22[[#This Row],[ENTRATE]]-Budget22[[#This Row],[USCITE]]</f>
        <v>1466.1800000000003</v>
      </c>
    </row>
    <row r="15" spans="1:6" x14ac:dyDescent="0.25">
      <c r="A15" s="4">
        <v>44880</v>
      </c>
      <c r="B15" s="1" t="str">
        <f>TEXT(Budget22[[#This Row],[DATA]],"mmmm")&amp;" "&amp;TEXT(Budget22[[#This Row],[DATA]],"aaaa")</f>
        <v>novembre 2022</v>
      </c>
      <c r="C15" t="s">
        <v>12</v>
      </c>
      <c r="D15" s="2"/>
      <c r="E15" s="2">
        <v>12.99</v>
      </c>
      <c r="F15" s="2">
        <f>F14+Budget22[[#This Row],[ENTRATE]]-Budget22[[#This Row],[USCITE]]</f>
        <v>1453.1900000000003</v>
      </c>
    </row>
    <row r="16" spans="1:6" x14ac:dyDescent="0.25">
      <c r="A16" s="4">
        <v>44880</v>
      </c>
      <c r="B16" s="1" t="str">
        <f>TEXT(Budget22[[#This Row],[DATA]],"mmmm")&amp;" "&amp;TEXT(Budget22[[#This Row],[DATA]],"aaaa")</f>
        <v>novembre 2022</v>
      </c>
      <c r="C16" t="s">
        <v>205</v>
      </c>
      <c r="D16" s="2"/>
      <c r="E16" s="2">
        <v>47.7</v>
      </c>
      <c r="F16" s="2">
        <f>F15+Budget22[[#This Row],[ENTRATE]]-Budget22[[#This Row],[USCITE]]</f>
        <v>1405.4900000000002</v>
      </c>
    </row>
    <row r="17" spans="1:6" x14ac:dyDescent="0.25">
      <c r="A17" s="4">
        <v>44880</v>
      </c>
      <c r="B17" s="1" t="str">
        <f>TEXT(Budget22[[#This Row],[DATA]],"mmmm")&amp;" "&amp;TEXT(Budget22[[#This Row],[DATA]],"aaaa")</f>
        <v>novembre 2022</v>
      </c>
      <c r="C17" t="s">
        <v>206</v>
      </c>
      <c r="D17" s="2"/>
      <c r="E17" s="2">
        <v>25.6</v>
      </c>
      <c r="F17" s="2">
        <f>F16+Budget22[[#This Row],[ENTRATE]]-Budget22[[#This Row],[USCITE]]</f>
        <v>1379.8900000000003</v>
      </c>
    </row>
    <row r="18" spans="1:6" x14ac:dyDescent="0.25">
      <c r="A18" s="4">
        <v>44880</v>
      </c>
      <c r="B18" s="1" t="str">
        <f>TEXT(Budget22[[#This Row],[DATA]],"mmmm")&amp;" "&amp;TEXT(Budget22[[#This Row],[DATA]],"aaaa")</f>
        <v>novembre 2022</v>
      </c>
      <c r="C18" t="s">
        <v>12</v>
      </c>
      <c r="D18" s="2"/>
      <c r="E18" s="2">
        <v>19.739999999999998</v>
      </c>
      <c r="F18" s="2">
        <f>F17+Budget22[[#This Row],[ENTRATE]]-Budget22[[#This Row],[USCITE]]</f>
        <v>1360.1500000000003</v>
      </c>
    </row>
    <row r="19" spans="1:6" x14ac:dyDescent="0.25">
      <c r="A19" s="4">
        <v>44880</v>
      </c>
      <c r="B19" s="1" t="str">
        <f>TEXT(Budget22[[#This Row],[DATA]],"mmmm")&amp;" "&amp;TEXT(Budget22[[#This Row],[DATA]],"aaaa")</f>
        <v>novembre 2022</v>
      </c>
      <c r="C19" t="s">
        <v>207</v>
      </c>
      <c r="D19" s="2"/>
      <c r="E19" s="2">
        <v>2</v>
      </c>
      <c r="F19" s="2">
        <f>F18+Budget22[[#This Row],[ENTRATE]]-Budget22[[#This Row],[USCITE]]</f>
        <v>1358.1500000000003</v>
      </c>
    </row>
    <row r="20" spans="1:6" x14ac:dyDescent="0.25">
      <c r="A20" s="4">
        <v>44886</v>
      </c>
      <c r="B20" s="1" t="str">
        <f>TEXT(Budget22[[#This Row],[DATA]],"mmmm")&amp;" "&amp;TEXT(Budget22[[#This Row],[DATA]],"aaaa")</f>
        <v>novembre 2022</v>
      </c>
      <c r="C20" t="s">
        <v>11</v>
      </c>
      <c r="D20" s="2"/>
      <c r="E20" s="2">
        <v>500.5</v>
      </c>
      <c r="F20" s="2">
        <f>F19+Budget22[[#This Row],[ENTRATE]]-Budget22[[#This Row],[USCITE]]</f>
        <v>857.65000000000032</v>
      </c>
    </row>
    <row r="21" spans="1:6" x14ac:dyDescent="0.25">
      <c r="A21" s="4">
        <v>44886</v>
      </c>
      <c r="B21" s="1" t="str">
        <f>TEXT(Budget22[[#This Row],[DATA]],"mmmm")&amp;" "&amp;TEXT(Budget22[[#This Row],[DATA]],"aaaa")</f>
        <v>novembre 2022</v>
      </c>
      <c r="C21" t="s">
        <v>16</v>
      </c>
      <c r="D21" s="2"/>
      <c r="E21" s="2">
        <v>75.23</v>
      </c>
      <c r="F21" s="2">
        <f>F20+Budget22[[#This Row],[ENTRATE]]-Budget22[[#This Row],[USCITE]]</f>
        <v>782.4200000000003</v>
      </c>
    </row>
    <row r="22" spans="1:6" x14ac:dyDescent="0.25">
      <c r="A22" s="4">
        <v>44886</v>
      </c>
      <c r="B22" s="1" t="str">
        <f>TEXT(Budget22[[#This Row],[DATA]],"mmmm")&amp;" "&amp;TEXT(Budget22[[#This Row],[DATA]],"aaaa")</f>
        <v>novembre 2022</v>
      </c>
      <c r="C22" t="s">
        <v>57</v>
      </c>
      <c r="D22" s="2"/>
      <c r="E22" s="2">
        <v>15</v>
      </c>
      <c r="F22" s="2">
        <f>F21+Budget22[[#This Row],[ENTRATE]]-Budget22[[#This Row],[USCITE]]</f>
        <v>767.4200000000003</v>
      </c>
    </row>
    <row r="23" spans="1:6" x14ac:dyDescent="0.25">
      <c r="A23" s="4">
        <v>44886</v>
      </c>
      <c r="B23" s="1" t="str">
        <f>TEXT(Budget22[[#This Row],[DATA]],"mmmm")&amp;" "&amp;TEXT(Budget22[[#This Row],[DATA]],"aaaa")</f>
        <v>novembre 2022</v>
      </c>
      <c r="C23" t="s">
        <v>7</v>
      </c>
      <c r="D23" s="2"/>
      <c r="E23" s="2">
        <v>26.82</v>
      </c>
      <c r="F23" s="2">
        <f>F22+Budget22[[#This Row],[ENTRATE]]-Budget22[[#This Row],[USCITE]]</f>
        <v>740.60000000000025</v>
      </c>
    </row>
    <row r="24" spans="1:6" x14ac:dyDescent="0.25">
      <c r="A24" s="4">
        <v>44895</v>
      </c>
      <c r="B24" s="1" t="str">
        <f>TEXT(Budget22[[#This Row],[DATA]],"mmmm")&amp;" "&amp;TEXT(Budget22[[#This Row],[DATA]],"aaaa")</f>
        <v>novembre 2022</v>
      </c>
      <c r="C24" t="s">
        <v>18</v>
      </c>
      <c r="D24" s="2"/>
      <c r="E24" s="2">
        <v>307.01</v>
      </c>
      <c r="F24" s="2">
        <f>F23+Budget22[[#This Row],[ENTRATE]]-Budget22[[#This Row],[USCITE]]</f>
        <v>433.59000000000026</v>
      </c>
    </row>
    <row r="25" spans="1:6" x14ac:dyDescent="0.25">
      <c r="A25" s="4">
        <v>44895</v>
      </c>
      <c r="B25" s="1" t="str">
        <f>TEXT(Budget22[[#This Row],[DATA]],"mmmm")&amp;" "&amp;TEXT(Budget22[[#This Row],[DATA]],"aaaa")</f>
        <v>novembre 2022</v>
      </c>
      <c r="C25" t="s">
        <v>56</v>
      </c>
      <c r="D25" s="2"/>
      <c r="E25" s="2">
        <v>109</v>
      </c>
      <c r="F25" s="2">
        <f>F24+Budget22[[#This Row],[ENTRATE]]-Budget22[[#This Row],[USCITE]]</f>
        <v>324.59000000000026</v>
      </c>
    </row>
    <row r="26" spans="1:6" x14ac:dyDescent="0.25">
      <c r="A26" s="4">
        <v>44895</v>
      </c>
      <c r="B26" s="1" t="str">
        <f>TEXT(Budget22[[#This Row],[DATA]],"mmmm")&amp;" "&amp;TEXT(Budget22[[#This Row],[DATA]],"aaaa")</f>
        <v>novembre 2022</v>
      </c>
      <c r="C26" t="s">
        <v>208</v>
      </c>
      <c r="D26" s="2"/>
      <c r="E26" s="2">
        <v>14.99</v>
      </c>
      <c r="F26" s="2">
        <f>F25+Budget22[[#This Row],[ENTRATE]]-Budget22[[#This Row],[USCITE]]</f>
        <v>309.60000000000025</v>
      </c>
    </row>
    <row r="27" spans="1:6" x14ac:dyDescent="0.25">
      <c r="A27" s="4">
        <v>44903</v>
      </c>
      <c r="B27" s="1" t="str">
        <f>TEXT(Budget22[[#This Row],[DATA]],"mmmm")&amp;" "&amp;TEXT(Budget22[[#This Row],[DATA]],"aaaa")</f>
        <v>dicembre 2022</v>
      </c>
      <c r="C27" s="1" t="s">
        <v>8</v>
      </c>
      <c r="D27" s="2"/>
      <c r="E27" s="2">
        <v>44.87</v>
      </c>
      <c r="F27" s="2">
        <f>F26+Budget22[[#This Row],[ENTRATE]]-Budget22[[#This Row],[USCITE]]</f>
        <v>264.73000000000025</v>
      </c>
    </row>
    <row r="28" spans="1:6" x14ac:dyDescent="0.25">
      <c r="A28" s="4">
        <v>44907</v>
      </c>
      <c r="B28" s="1" t="str">
        <f>TEXT(Budget22[[#This Row],[DATA]],"mmmm")&amp;" "&amp;TEXT(Budget22[[#This Row],[DATA]],"aaaa")</f>
        <v>dicembre 2022</v>
      </c>
      <c r="C28" s="1" t="s">
        <v>10</v>
      </c>
      <c r="D28" s="2">
        <v>1831</v>
      </c>
      <c r="E28" s="2"/>
      <c r="F28" s="2">
        <f>F27+Budget22[[#This Row],[ENTRATE]]-Budget22[[#This Row],[USCITE]]</f>
        <v>2095.7300000000005</v>
      </c>
    </row>
    <row r="29" spans="1:6" x14ac:dyDescent="0.25">
      <c r="A29" s="4">
        <v>44908</v>
      </c>
      <c r="B29" s="1" t="str">
        <f>TEXT(Budget22[[#This Row],[DATA]],"mmmm")&amp;" "&amp;TEXT(Budget22[[#This Row],[DATA]],"aaaa")</f>
        <v>dicembre 2022</v>
      </c>
      <c r="C29" s="1" t="s">
        <v>11</v>
      </c>
      <c r="D29" s="2"/>
      <c r="E29" s="2">
        <v>500.5</v>
      </c>
      <c r="F29" s="2">
        <f>F28+Budget22[[#This Row],[ENTRATE]]-Budget22[[#This Row],[USCITE]]</f>
        <v>1595.2300000000005</v>
      </c>
    </row>
    <row r="30" spans="1:6" x14ac:dyDescent="0.25">
      <c r="A30" s="4">
        <v>44908</v>
      </c>
      <c r="B30" s="1" t="str">
        <f>TEXT(Budget22[[#This Row],[DATA]],"mmmm")&amp;" "&amp;TEXT(Budget22[[#This Row],[DATA]],"aaaa")</f>
        <v>dicembre 2022</v>
      </c>
      <c r="C30" s="1" t="s">
        <v>7</v>
      </c>
      <c r="D30" s="2"/>
      <c r="E30" s="2">
        <v>29</v>
      </c>
      <c r="F30" s="2">
        <f>F29+Budget22[[#This Row],[ENTRATE]]-Budget22[[#This Row],[USCITE]]</f>
        <v>1566.2300000000005</v>
      </c>
    </row>
    <row r="31" spans="1:6" x14ac:dyDescent="0.25">
      <c r="A31" s="4">
        <v>44910</v>
      </c>
      <c r="B31" s="1" t="str">
        <f>TEXT(Budget22[[#This Row],[DATA]],"mmmm")&amp;" "&amp;TEXT(Budget22[[#This Row],[DATA]],"aaaa")</f>
        <v>dicembre 2022</v>
      </c>
      <c r="C31" t="s">
        <v>12</v>
      </c>
      <c r="D31" s="2"/>
      <c r="E31" s="2">
        <v>18.66</v>
      </c>
      <c r="F31" s="2">
        <f>F30+Budget22[[#This Row],[ENTRATE]]-Budget22[[#This Row],[USCITE]]</f>
        <v>1547.5700000000004</v>
      </c>
    </row>
    <row r="32" spans="1:6" x14ac:dyDescent="0.25">
      <c r="A32" s="4">
        <v>44910</v>
      </c>
      <c r="B32" s="1" t="str">
        <f>TEXT(Budget22[[#This Row],[DATA]],"mmmm")&amp;" "&amp;TEXT(Budget22[[#This Row],[DATA]],"aaaa")</f>
        <v>dicembre 2022</v>
      </c>
      <c r="C32" t="s">
        <v>201</v>
      </c>
      <c r="D32" s="2"/>
      <c r="E32" s="2">
        <v>3.65</v>
      </c>
      <c r="F32" s="2">
        <f>F31+Budget22[[#This Row],[ENTRATE]]-Budget22[[#This Row],[USCITE]]</f>
        <v>1543.9200000000003</v>
      </c>
    </row>
    <row r="33" spans="1:10" x14ac:dyDescent="0.25">
      <c r="A33" s="4">
        <v>44910</v>
      </c>
      <c r="B33" s="1" t="str">
        <f>TEXT(Budget22[[#This Row],[DATA]],"mmmm")&amp;" "&amp;TEXT(Budget22[[#This Row],[DATA]],"aaaa")</f>
        <v>dicembre 2022</v>
      </c>
      <c r="C33" s="1" t="s">
        <v>14</v>
      </c>
      <c r="D33" s="2"/>
      <c r="E33" s="2">
        <v>70.98</v>
      </c>
      <c r="F33" s="2">
        <f>F32+Budget22[[#This Row],[ENTRATE]]-Budget22[[#This Row],[USCITE]]</f>
        <v>1472.9400000000003</v>
      </c>
    </row>
    <row r="34" spans="1:10" x14ac:dyDescent="0.25">
      <c r="A34" s="4">
        <v>44910</v>
      </c>
      <c r="B34" s="1" t="str">
        <f>TEXT(Budget22[[#This Row],[DATA]],"mmmm")&amp;" "&amp;TEXT(Budget22[[#This Row],[DATA]],"aaaa")</f>
        <v>dicembre 2022</v>
      </c>
      <c r="C34" t="s">
        <v>209</v>
      </c>
      <c r="D34" s="2"/>
      <c r="E34" s="2">
        <v>13.95</v>
      </c>
      <c r="F34" s="2">
        <f>F33+Budget22[[#This Row],[ENTRATE]]-Budget22[[#This Row],[USCITE]]</f>
        <v>1458.9900000000002</v>
      </c>
    </row>
    <row r="35" spans="1:10" x14ac:dyDescent="0.25">
      <c r="A35" s="4">
        <v>44910</v>
      </c>
      <c r="B35" s="1" t="str">
        <f>TEXT(Budget22[[#This Row],[DATA]],"mmmm")&amp;" "&amp;TEXT(Budget22[[#This Row],[DATA]],"aaaa")</f>
        <v>dicembre 2022</v>
      </c>
      <c r="C35" t="s">
        <v>57</v>
      </c>
      <c r="D35" s="2"/>
      <c r="E35" s="2">
        <v>59</v>
      </c>
      <c r="F35" s="2">
        <f>F34+Budget22[[#This Row],[ENTRATE]]-Budget22[[#This Row],[USCITE]]</f>
        <v>1399.9900000000002</v>
      </c>
    </row>
    <row r="36" spans="1:10" x14ac:dyDescent="0.25">
      <c r="A36" s="4">
        <v>44910</v>
      </c>
      <c r="B36" s="1" t="str">
        <f>TEXT(Budget22[[#This Row],[DATA]],"mmmm")&amp;" "&amp;TEXT(Budget22[[#This Row],[DATA]],"aaaa")</f>
        <v>dicembre 2022</v>
      </c>
      <c r="C36" t="s">
        <v>210</v>
      </c>
      <c r="D36" s="2"/>
      <c r="E36" s="2">
        <v>87.93</v>
      </c>
      <c r="F36" s="2">
        <f>F35+Budget22[[#This Row],[ENTRATE]]-Budget22[[#This Row],[USCITE]]</f>
        <v>1312.0600000000002</v>
      </c>
    </row>
    <row r="37" spans="1:10" x14ac:dyDescent="0.25">
      <c r="A37" s="4">
        <v>44910</v>
      </c>
      <c r="B37" s="1" t="str">
        <f>TEXT(Budget22[[#This Row],[DATA]],"mmmm")&amp;" "&amp;TEXT(Budget22[[#This Row],[DATA]],"aaaa")</f>
        <v>dicembre 2022</v>
      </c>
      <c r="C37" t="s">
        <v>211</v>
      </c>
      <c r="D37" s="2"/>
      <c r="E37" s="2">
        <v>1.0900000000000001</v>
      </c>
      <c r="F37" s="2">
        <f>F36+Budget22[[#This Row],[ENTRATE]]-Budget22[[#This Row],[USCITE]]</f>
        <v>1310.9700000000003</v>
      </c>
    </row>
    <row r="38" spans="1:10" x14ac:dyDescent="0.25">
      <c r="A38" s="4">
        <v>44910</v>
      </c>
      <c r="B38" s="1" t="str">
        <f>TEXT(Budget22[[#This Row],[DATA]],"mmmm")&amp;" "&amp;TEXT(Budget22[[#This Row],[DATA]],"aaaa")</f>
        <v>dicembre 2022</v>
      </c>
      <c r="C38" t="s">
        <v>207</v>
      </c>
      <c r="D38" s="2"/>
      <c r="E38" s="2">
        <v>2</v>
      </c>
      <c r="F38" s="2">
        <f>F37+Budget22[[#This Row],[ENTRATE]]-Budget22[[#This Row],[USCITE]]</f>
        <v>1308.9700000000003</v>
      </c>
    </row>
    <row r="39" spans="1:10" x14ac:dyDescent="0.25">
      <c r="A39" s="4">
        <v>44910</v>
      </c>
      <c r="B39" s="1" t="str">
        <f>TEXT(Budget22[[#This Row],[DATA]],"mmmm")&amp;" "&amp;TEXT(Budget22[[#This Row],[DATA]],"aaaa")</f>
        <v>dicembre 2022</v>
      </c>
      <c r="C39" t="s">
        <v>212</v>
      </c>
      <c r="D39" s="2"/>
      <c r="E39" s="2">
        <v>32.5</v>
      </c>
      <c r="F39" s="2">
        <f>F38+Budget22[[#This Row],[ENTRATE]]-Budget22[[#This Row],[USCITE]]</f>
        <v>1276.4700000000003</v>
      </c>
    </row>
    <row r="40" spans="1:10" x14ac:dyDescent="0.25">
      <c r="A40" s="4">
        <v>44911</v>
      </c>
      <c r="B40" s="1" t="str">
        <f>TEXT(Budget22[[#This Row],[DATA]],"mmmm")&amp;" "&amp;TEXT(Budget22[[#This Row],[DATA]],"aaaa")</f>
        <v>dicembre 2022</v>
      </c>
      <c r="C40" t="s">
        <v>213</v>
      </c>
      <c r="D40" s="2"/>
      <c r="E40" s="2">
        <v>14</v>
      </c>
      <c r="F40" s="2">
        <f>F39+Budget22[[#This Row],[ENTRATE]]-Budget22[[#This Row],[USCITE]]</f>
        <v>1262.4700000000003</v>
      </c>
      <c r="H40" s="5" t="s">
        <v>72</v>
      </c>
      <c r="I40" t="s">
        <v>73</v>
      </c>
      <c r="J40" t="s">
        <v>74</v>
      </c>
    </row>
    <row r="41" spans="1:10" x14ac:dyDescent="0.25">
      <c r="A41" s="4">
        <v>44911</v>
      </c>
      <c r="B41" s="1" t="str">
        <f>TEXT(Budget22[[#This Row],[DATA]],"mmmm")&amp;" "&amp;TEXT(Budget22[[#This Row],[DATA]],"aaaa")</f>
        <v>dicembre 2022</v>
      </c>
      <c r="C41" t="s">
        <v>214</v>
      </c>
      <c r="D41" s="2"/>
      <c r="E41" s="2">
        <v>40</v>
      </c>
      <c r="F41" s="2">
        <f>F40+Budget22[[#This Row],[ENTRATE]]-Budget22[[#This Row],[USCITE]]</f>
        <v>1222.4700000000003</v>
      </c>
      <c r="H41" s="6" t="s">
        <v>215</v>
      </c>
      <c r="I41" s="7">
        <v>2490.6999999999998</v>
      </c>
      <c r="J41" s="7">
        <v>2181.0999999999995</v>
      </c>
    </row>
    <row r="42" spans="1:10" x14ac:dyDescent="0.25">
      <c r="A42" s="4">
        <v>44911</v>
      </c>
      <c r="B42" s="1" t="str">
        <f>TEXT(Budget22[[#This Row],[DATA]],"mmmm")&amp;" "&amp;TEXT(Budget22[[#This Row],[DATA]],"aaaa")</f>
        <v>dicembre 2022</v>
      </c>
      <c r="C42" t="s">
        <v>7</v>
      </c>
      <c r="D42" s="2"/>
      <c r="E42" s="2">
        <v>50.01</v>
      </c>
      <c r="F42" s="2">
        <f>F41+Budget22[[#This Row],[ENTRATE]]-Budget22[[#This Row],[USCITE]]</f>
        <v>1172.4600000000003</v>
      </c>
      <c r="H42" s="6" t="s">
        <v>216</v>
      </c>
      <c r="I42" s="7">
        <v>3523</v>
      </c>
      <c r="J42" s="7">
        <v>1884.6399999999999</v>
      </c>
    </row>
    <row r="43" spans="1:10" x14ac:dyDescent="0.25">
      <c r="A43" s="4">
        <v>44916</v>
      </c>
      <c r="B43" s="1" t="str">
        <f>TEXT(Budget22[[#This Row],[DATA]],"mmmm")&amp;" "&amp;TEXT(Budget22[[#This Row],[DATA]],"aaaa")</f>
        <v>dicembre 2022</v>
      </c>
      <c r="C43" t="s">
        <v>11</v>
      </c>
      <c r="D43" s="2"/>
      <c r="E43" s="2">
        <v>500.5</v>
      </c>
      <c r="F43" s="2">
        <f>F42+Budget22[[#This Row],[ENTRATE]]-Budget22[[#This Row],[USCITE]]</f>
        <v>671.96000000000026</v>
      </c>
      <c r="H43" s="6" t="s">
        <v>182</v>
      </c>
      <c r="I43" s="7">
        <v>1700</v>
      </c>
      <c r="J43" s="7">
        <v>1250.76</v>
      </c>
    </row>
    <row r="44" spans="1:10" x14ac:dyDescent="0.25">
      <c r="A44" s="4">
        <v>44917</v>
      </c>
      <c r="B44" s="1" t="str">
        <f>TEXT(Budget22[[#This Row],[DATA]],"mmmm")&amp;" "&amp;TEXT(Budget22[[#This Row],[DATA]],"aaaa")</f>
        <v>dicembre 2022</v>
      </c>
      <c r="C44" t="s">
        <v>10</v>
      </c>
      <c r="D44" s="2">
        <v>1692</v>
      </c>
      <c r="E44" s="2"/>
      <c r="F44" s="2">
        <f>F43+Budget22[[#This Row],[ENTRATE]]-Budget22[[#This Row],[USCITE]]</f>
        <v>2363.96</v>
      </c>
      <c r="H44" s="6" t="s">
        <v>183</v>
      </c>
      <c r="I44" s="7">
        <v>1700</v>
      </c>
      <c r="J44" s="7">
        <v>895.43000000000006</v>
      </c>
    </row>
    <row r="45" spans="1:10" x14ac:dyDescent="0.25">
      <c r="A45" s="4">
        <v>44918</v>
      </c>
      <c r="B45" s="1" t="str">
        <f>TEXT(Budget22[[#This Row],[DATA]],"mmmm")&amp;" "&amp;TEXT(Budget22[[#This Row],[DATA]],"aaaa")</f>
        <v>dicembre 2022</v>
      </c>
      <c r="C45" t="s">
        <v>180</v>
      </c>
      <c r="D45" s="2"/>
      <c r="E45" s="2">
        <v>109</v>
      </c>
      <c r="F45" s="2">
        <f>F44+Budget22[[#This Row],[ENTRATE]]-Budget22[[#This Row],[USCITE]]</f>
        <v>2254.96</v>
      </c>
      <c r="H45" s="6" t="s">
        <v>89</v>
      </c>
      <c r="I45" s="7">
        <v>9413.7000000000007</v>
      </c>
      <c r="J45" s="7">
        <v>6211.9299999999994</v>
      </c>
    </row>
    <row r="46" spans="1:10" x14ac:dyDescent="0.25">
      <c r="A46" s="4">
        <v>44926</v>
      </c>
      <c r="B46" s="1" t="str">
        <f>TEXT(Budget22[[#This Row],[DATA]],"mmmm")&amp;" "&amp;TEXT(Budget22[[#This Row],[DATA]],"aaaa")</f>
        <v>dicembre 2022</v>
      </c>
      <c r="C46" t="s">
        <v>18</v>
      </c>
      <c r="D46" s="2"/>
      <c r="E46" s="2">
        <v>307</v>
      </c>
      <c r="F46" s="2">
        <f>F45+Budget22[[#This Row],[ENTRATE]]-Budget22[[#This Row],[USCITE]]</f>
        <v>1947.96</v>
      </c>
    </row>
    <row r="47" spans="1:10" x14ac:dyDescent="0.25">
      <c r="A47" s="4">
        <v>44934</v>
      </c>
      <c r="B47" s="1" t="str">
        <f>TEXT(Budget22[[#This Row],[DATA]],"mmmm")&amp;" "&amp;TEXT(Budget22[[#This Row],[DATA]],"aaaa")</f>
        <v>gennaio 2023</v>
      </c>
      <c r="C47" s="1" t="s">
        <v>8</v>
      </c>
      <c r="D47" s="2"/>
      <c r="E47" s="2">
        <v>44.87</v>
      </c>
      <c r="F47" s="2">
        <f>F46+Budget22[[#This Row],[ENTRATE]]-Budget22[[#This Row],[USCITE]]</f>
        <v>1903.0900000000001</v>
      </c>
    </row>
    <row r="48" spans="1:10" x14ac:dyDescent="0.25">
      <c r="A48" s="4">
        <v>44936</v>
      </c>
      <c r="B48" s="1" t="str">
        <f>TEXT(Budget22[[#This Row],[DATA]],"mmmm")&amp;" "&amp;TEXT(Budget22[[#This Row],[DATA]],"aaaa")</f>
        <v>gennaio 2023</v>
      </c>
      <c r="C48" t="s">
        <v>10</v>
      </c>
      <c r="D48" s="2">
        <v>1700</v>
      </c>
      <c r="E48" s="2"/>
      <c r="F48" s="2">
        <f>F47+Budget22[[#This Row],[ENTRATE]]-Budget22[[#This Row],[USCITE]]</f>
        <v>3603.09</v>
      </c>
    </row>
    <row r="49" spans="1:6" x14ac:dyDescent="0.25">
      <c r="A49" s="4">
        <v>44937</v>
      </c>
      <c r="B49" s="1" t="str">
        <f>TEXT(Budget22[[#This Row],[DATA]],"mmmm")&amp;" "&amp;TEXT(Budget22[[#This Row],[DATA]],"aaaa")</f>
        <v>gennaio 2023</v>
      </c>
      <c r="C49" t="s">
        <v>11</v>
      </c>
      <c r="D49" s="2"/>
      <c r="E49" s="2">
        <v>500.5</v>
      </c>
      <c r="F49" s="2">
        <f>F48+Budget22[[#This Row],[ENTRATE]]-Budget22[[#This Row],[USCITE]]</f>
        <v>3102.59</v>
      </c>
    </row>
    <row r="50" spans="1:6" x14ac:dyDescent="0.25">
      <c r="A50" s="4">
        <v>44942</v>
      </c>
      <c r="B50" s="1" t="str">
        <f>TEXT(Budget22[[#This Row],[DATA]],"mmmm")&amp;" "&amp;TEXT(Budget22[[#This Row],[DATA]],"aaaa")</f>
        <v>gennaio 2023</v>
      </c>
      <c r="C50" t="s">
        <v>212</v>
      </c>
      <c r="D50" s="2"/>
      <c r="E50" s="2">
        <v>56</v>
      </c>
      <c r="F50" s="2">
        <f>F49+Budget22[[#This Row],[ENTRATE]]-Budget22[[#This Row],[USCITE]]</f>
        <v>3046.59</v>
      </c>
    </row>
    <row r="51" spans="1:6" x14ac:dyDescent="0.25">
      <c r="A51" s="4">
        <v>44942</v>
      </c>
      <c r="B51" s="1" t="str">
        <f>TEXT(Budget22[[#This Row],[DATA]],"mmmm")&amp;" "&amp;TEXT(Budget22[[#This Row],[DATA]],"aaaa")</f>
        <v>gennaio 2023</v>
      </c>
      <c r="C51" t="s">
        <v>141</v>
      </c>
      <c r="D51" s="2"/>
      <c r="E51" s="2">
        <v>87.94</v>
      </c>
      <c r="F51" s="2">
        <f>F50+Budget22[[#This Row],[ENTRATE]]-Budget22[[#This Row],[USCITE]]</f>
        <v>2958.65</v>
      </c>
    </row>
    <row r="52" spans="1:6" x14ac:dyDescent="0.25">
      <c r="A52" s="4">
        <v>44942</v>
      </c>
      <c r="B52" s="1" t="str">
        <f>TEXT(Budget22[[#This Row],[DATA]],"mmmm")&amp;" "&amp;TEXT(Budget22[[#This Row],[DATA]],"aaaa")</f>
        <v>gennaio 2023</v>
      </c>
      <c r="C52" t="s">
        <v>142</v>
      </c>
      <c r="D52" s="2"/>
      <c r="E52" s="2">
        <v>15.5</v>
      </c>
      <c r="F52" s="2">
        <f>F51+Budget22[[#This Row],[ENTRATE]]-Budget22[[#This Row],[USCITE]]</f>
        <v>2943.15</v>
      </c>
    </row>
    <row r="53" spans="1:6" x14ac:dyDescent="0.25">
      <c r="A53" s="4">
        <v>44942</v>
      </c>
      <c r="B53" s="1" t="str">
        <f>TEXT(Budget22[[#This Row],[DATA]],"mmmm")&amp;" "&amp;TEXT(Budget22[[#This Row],[DATA]],"aaaa")</f>
        <v>gennaio 2023</v>
      </c>
      <c r="C53" t="s">
        <v>66</v>
      </c>
      <c r="D53" s="2"/>
      <c r="E53" s="2">
        <v>41</v>
      </c>
      <c r="F53" s="2">
        <f>F52+Budget22[[#This Row],[ENTRATE]]-Budget22[[#This Row],[USCITE]]</f>
        <v>2902.15</v>
      </c>
    </row>
    <row r="54" spans="1:6" x14ac:dyDescent="0.25">
      <c r="A54" s="4">
        <v>44942</v>
      </c>
      <c r="B54" s="1" t="str">
        <f>TEXT(Budget22[[#This Row],[DATA]],"mmmm")&amp;" "&amp;TEXT(Budget22[[#This Row],[DATA]],"aaaa")</f>
        <v>gennaio 2023</v>
      </c>
      <c r="C54" t="s">
        <v>143</v>
      </c>
      <c r="D54" s="2"/>
      <c r="E54" s="2">
        <v>197.95</v>
      </c>
      <c r="F54" s="2">
        <f>F53+Budget22[[#This Row],[ENTRATE]]-Budget22[[#This Row],[USCITE]]</f>
        <v>2704.2000000000003</v>
      </c>
    </row>
    <row r="55" spans="1:6" x14ac:dyDescent="0.25">
      <c r="A55" s="4">
        <v>44957</v>
      </c>
      <c r="B55" s="1" t="str">
        <f>TEXT(Budget22[[#This Row],[DATA]],"mmmm")&amp;" "&amp;TEXT(Budget22[[#This Row],[DATA]],"aaaa")</f>
        <v>gennaio 2023</v>
      </c>
      <c r="C55" t="s">
        <v>18</v>
      </c>
      <c r="D55" s="2"/>
      <c r="E55" s="2">
        <v>307</v>
      </c>
      <c r="F55" s="2">
        <f>F54+Budget22[[#This Row],[ENTRATE]]-Budget22[[#This Row],[USCITE]]</f>
        <v>2397.2000000000003</v>
      </c>
    </row>
    <row r="56" spans="1:6" x14ac:dyDescent="0.25">
      <c r="A56" s="4">
        <v>44967</v>
      </c>
      <c r="B56" s="1" t="str">
        <f>TEXT(Budget22[[#This Row],[DATA]],"mmmm")&amp;" "&amp;TEXT(Budget22[[#This Row],[DATA]],"aaaa")</f>
        <v>febbraio 2023</v>
      </c>
      <c r="C56" t="s">
        <v>10</v>
      </c>
      <c r="D56" s="2">
        <v>1700</v>
      </c>
      <c r="E56" s="2"/>
      <c r="F56" s="2">
        <f>F55+Budget22[[#This Row],[ENTRATE]]-Budget22[[#This Row],[USCITE]]</f>
        <v>4097.2000000000007</v>
      </c>
    </row>
    <row r="57" spans="1:6" x14ac:dyDescent="0.25">
      <c r="A57" s="4">
        <v>44968</v>
      </c>
      <c r="B57" s="1" t="str">
        <f>TEXT(Budget22[[#This Row],[DATA]],"mmmm")&amp;" "&amp;TEXT(Budget22[[#This Row],[DATA]],"aaaa")</f>
        <v>febbraio 2023</v>
      </c>
      <c r="C57" t="s">
        <v>11</v>
      </c>
      <c r="D57" s="2"/>
      <c r="E57" s="2">
        <v>500.5</v>
      </c>
      <c r="F57" s="2">
        <f>F56+Budget22[[#This Row],[ENTRATE]]-Budget22[[#This Row],[USCITE]]</f>
        <v>3596.7000000000007</v>
      </c>
    </row>
    <row r="58" spans="1:6" x14ac:dyDescent="0.25">
      <c r="A58" s="4">
        <v>44973</v>
      </c>
      <c r="B58" s="1" t="str">
        <f>TEXT(Budget22[[#This Row],[DATA]],"mmmm")&amp;" "&amp;TEXT(Budget22[[#This Row],[DATA]],"aaaa")</f>
        <v>febbraio 2023</v>
      </c>
      <c r="C58" t="s">
        <v>146</v>
      </c>
      <c r="D58" s="2"/>
      <c r="E58" s="2">
        <v>87.93</v>
      </c>
      <c r="F58" s="2">
        <f>F57+Budget22[[#This Row],[ENTRATE]]-Budget22[[#This Row],[USCITE]]</f>
        <v>3508.7700000000009</v>
      </c>
    </row>
    <row r="59" spans="1:6" x14ac:dyDescent="0.25">
      <c r="A59" s="4">
        <v>44985</v>
      </c>
      <c r="B59" s="1" t="str">
        <f>TEXT(Budget22[[#This Row],[DATA]],"mmmm")&amp;" "&amp;TEXT(Budget22[[#This Row],[DATA]],"aaaa")</f>
        <v>febbraio 2023</v>
      </c>
      <c r="C59" t="s">
        <v>18</v>
      </c>
      <c r="D59" s="2"/>
      <c r="E59" s="2">
        <v>307</v>
      </c>
      <c r="F59" s="2">
        <f>F58+Budget22[[#This Row],[ENTRATE]]-Budget22[[#This Row],[USCITE]]</f>
        <v>3201.7700000000009</v>
      </c>
    </row>
    <row r="60" spans="1:6" x14ac:dyDescent="0.25">
      <c r="A60" s="4" t="s">
        <v>90</v>
      </c>
      <c r="D60" s="3">
        <f>SUBTOTAL(109,Budget22[ENTRATE])</f>
        <v>9413.7000000000007</v>
      </c>
      <c r="E60" s="3">
        <f>SUBTOTAL(109,Budget22[USCITE])</f>
        <v>6211.9299999999994</v>
      </c>
      <c r="F60" s="3">
        <f>Budget22[[#Totals],[ENTRATE]]-Budget22[[#Totals],[USCITE]]</f>
        <v>3201.7700000000013</v>
      </c>
    </row>
  </sheetData>
  <conditionalFormatting sqref="A2:F59">
    <cfRule type="expression" dxfId="1" priority="1">
      <formula>$A2=TODAY()</formula>
    </cfRule>
    <cfRule type="expression" dxfId="0" priority="2">
      <formula>$A2&lt;=TODAY()</formula>
    </cfRule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</dc:creator>
  <cp:keywords/>
  <dc:description/>
  <cp:lastModifiedBy>Simone Tarquini</cp:lastModifiedBy>
  <cp:revision/>
  <dcterms:created xsi:type="dcterms:W3CDTF">2022-11-14T14:17:34Z</dcterms:created>
  <dcterms:modified xsi:type="dcterms:W3CDTF">2026-01-12T12:52:51Z</dcterms:modified>
  <cp:category/>
  <cp:contentStatus/>
</cp:coreProperties>
</file>